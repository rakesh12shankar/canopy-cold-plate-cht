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0b40d9988c40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enchmark Inputs" sheetId="1" r:id="R7994ce7f0a1943a5"/>
    <x:sheet xmlns:r="http://schemas.openxmlformats.org/officeDocument/2006/relationships" name="Geometry Checklist" sheetId="2" r:id="Re1604c5d6d80461f"/>
    <x:sheet xmlns:r="http://schemas.openxmlformats.org/officeDocument/2006/relationships" name="Benchmark Cases" sheetId="3" r:id="Reac7d24d08ea40d1"/>
    <x:sheet xmlns:r="http://schemas.openxmlformats.org/officeDocument/2006/relationships" name="Open Items" sheetId="4" r:id="R3148187c965d41db"/>
    <x:sheet xmlns:r="http://schemas.openxmlformats.org/officeDocument/2006/relationships" name="Pipe Verification" sheetId="5" r:id="Rb0f56da697f04694"/>
    <x:sheet xmlns:r="http://schemas.openxmlformats.org/officeDocument/2006/relationships" name="Manifold Study" sheetId="6" r:id="R478e2ac34e174f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2">
    <x:numFmt numFmtId="200" formatCode="0.00####"/>
    <x:numFmt numFmtId="201" formatCode="0.0E+00"/>
    <x:numFmt numFmtId="202" formatCode="0.00"/>
    <x:numFmt numFmtId="203" formatCode="0"/>
    <x:numFmt numFmtId="204" formatCode="0.00000000"/>
    <x:numFmt numFmtId="205" formatCode="#,##0.00"/>
    <x:numFmt numFmtId="206" formatCode="0.###"/>
    <x:numFmt numFmtId="207" formatCode="0.0000"/>
    <x:numFmt numFmtId="208" formatCode="0.000000"/>
    <x:numFmt numFmtId="209" formatCode="#,##0"/>
    <x:numFmt numFmtId="210" formatCode="0.00000"/>
    <x:numFmt numFmtId="211" formatCode="0.0000000"/>
  </x:numFmts>
  <x:fonts count="9">
    <x:font>
      <x:sz val="11"/>
      <x:name val="Carlito"/>
    </x:font>
    <x:font>
      <x:sz val="11"/>
      <x:color rgb="FF202B37"/>
      <x:name val="Arial"/>
    </x:font>
    <x:font>
      <x:b/>
      <x:sz val="15"/>
      <x:color rgb="FF26374A"/>
      <x:name val="Arial"/>
    </x:font>
    <x:font>
      <x:i/>
      <x:sz val="11"/>
      <x:color rgb="FF536273"/>
      <x:name val="Arial"/>
    </x:font>
    <x:font>
      <x:b/>
      <x:sz val="11"/>
      <x:color rgb="FFFFFFFF"/>
      <x:name val="Arial"/>
    </x:font>
    <x:font>
      <x:sz val="11"/>
      <x:color rgb="FF20252B"/>
      <x:name val="Arial"/>
    </x:font>
    <x:font>
      <x:b/>
      <x:sz val="15"/>
      <x:color rgb="FF20252B"/>
      <x:name val="Arial"/>
    </x:font>
    <x:font>
      <x:i/>
      <x:sz val="11"/>
      <x:color rgb="FF20252B"/>
      <x:name val="Arial"/>
    </x:font>
    <x:font>
      <x:b/>
      <x:sz val="13"/>
      <x:name val="Carlito"/>
    </x:font>
  </x:fonts>
  <x:fills count="13">
    <x:fill>
      <x:patternFill patternType="none"/>
    </x:fill>
    <x:fill>
      <x:patternFill patternType="gray125"/>
    </x:fill>
    <x:fill>
      <x:patternFill patternType="solid">
        <x:fgColor rgb="FF26374A"/>
      </x:patternFill>
    </x:fill>
    <x:fill>
      <x:patternFill patternType="solid">
        <x:fgColor rgb="FFF1F4F7"/>
      </x:patternFill>
    </x:fill>
    <x:fill>
      <x:patternFill patternType="solid">
        <x:fgColor rgb="FFFFF3D6"/>
      </x:patternFill>
    </x:fill>
    <x:fill>
      <x:patternFill patternType="solid">
        <x:fgColor rgb="FF26374A"/>
      </x:patternFill>
    </x:fill>
    <x:fill>
      <x:patternFill patternType="solid">
        <x:fgColor rgb="FFF1F4F7"/>
      </x:patternFill>
    </x:fill>
    <x:fill>
      <x:patternFill patternType="solid">
        <x:fgColor rgb="FFFFF3D6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5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200" fontId="1" fillId="3" borderId="0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vertical="top" wrapText="1"/>
    </x:xf>
    <x:xf numFmtId="200" fontId="1" fillId="4" borderId="0" xfId="0" applyNumberFormat="1" applyFont="1" applyFill="1" applyBorder="1" applyAlignment="1">
      <x:alignment vertical="top" wrapText="1"/>
    </x:xf>
    <x:xf numFmtId="202" fontId="1" fillId="0" borderId="0" xfId="0" applyNumberFormat="1" applyFont="1" applyFill="1" applyBorder="1" applyAlignment="1">
      <x:alignment vertical="top" wrapText="1"/>
    </x:xf>
    <x:xf numFmtId="202" fontId="1" fillId="3" borderId="0" xfId="0" applyNumberFormat="1" applyFont="1" applyFill="1" applyBorder="1" applyAlignment="1">
      <x:alignment vertical="top" wrapText="1"/>
    </x:xf>
    <x:xf numFmtId="203" fontId="1" fillId="3" borderId="0" xfId="0" applyNumberFormat="1" applyFont="1" applyFill="1" applyBorder="1" applyAlignment="1">
      <x:alignment vertical="top" wrapText="1"/>
    </x:xf>
    <x:xf numFmtId="203" fontId="1" fillId="0" borderId="0" xfId="0" applyNumberFormat="1" applyFont="1" applyFill="1" applyBorder="1" applyAlignment="1">
      <x:alignment vertical="top" wrapText="1"/>
    </x:xf>
    <x:xf numFmtId="204" fontId="1" fillId="0" borderId="0" xfId="0" applyNumberFormat="1" applyFont="1" applyFill="1" applyBorder="1" applyAlignment="1">
      <x:alignment vertical="top" wrapText="1"/>
    </x:xf>
    <x:xf numFmtId="204" fontId="1" fillId="3" borderId="0" xfId="0" applyNumberFormat="1" applyFont="1" applyFill="1" applyBorder="1" applyAlignment="1">
      <x:alignment vertical="top" wrapText="1"/>
    </x:xf>
    <x:xf numFmtId="205" fontId="1" fillId="0" borderId="0" xfId="0" applyNumberFormat="1" applyFont="1" applyFill="1" applyBorder="1" applyAlignment="1">
      <x:alignment vertical="top" wrapText="1"/>
    </x:xf>
    <x:xf numFmtId="205" fontId="1" fillId="3" borderId="0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vertical="top" wrapText="1"/>
    </x:xf>
    <x:xf numFmtId="206" fontId="1" fillId="0" borderId="0" xfId="0" applyNumberFormat="1" applyFont="1" applyFill="1" applyBorder="1" applyAlignment="1">
      <x:alignment vertical="top" wrapText="1"/>
    </x:xf>
    <x:xf numFmtId="206" fontId="1" fillId="6" borderId="0" xfId="0" applyNumberFormat="1" applyFont="1" applyFill="1" applyBorder="1" applyAlignment="1">
      <x:alignment vertical="top" wrapText="1"/>
    </x:xf>
    <x:xf numFmtId="207" fontId="1" fillId="0" borderId="0" xfId="0" applyNumberFormat="1" applyFont="1" applyFill="1" applyBorder="1" applyAlignment="1">
      <x:alignment vertical="top" wrapText="1"/>
    </x:xf>
    <x:xf numFmtId="207" fontId="1" fillId="6" borderId="0" xfId="0" applyNumberFormat="1" applyFont="1" applyFill="1" applyBorder="1" applyAlignment="1">
      <x:alignment vertical="top" wrapText="1"/>
    </x:xf>
    <x:xf numFmtId="208" fontId="1" fillId="0" borderId="0" xfId="0" applyNumberFormat="1" applyFont="1" applyFill="1" applyBorder="1" applyAlignment="1">
      <x:alignment vertical="top" wrapText="1"/>
    </x:xf>
    <x:xf numFmtId="208" fontId="1" fillId="6" borderId="0" xfId="0" applyNumberFormat="1" applyFont="1" applyFill="1" applyBorder="1" applyAlignment="1">
      <x:alignment vertical="top" wrapText="1"/>
    </x:xf>
    <x:xf numFmtId="202" fontId="1" fillId="6" borderId="0" xfId="0" applyNumberFormat="1" applyFont="1" applyFill="1" applyBorder="1" applyAlignment="1">
      <x:alignment vertical="top" wrapText="1"/>
    </x:xf>
    <x:xf numFmtId="209" fontId="1" fillId="0" borderId="0" xfId="0" applyNumberFormat="1" applyFont="1" applyFill="1" applyBorder="1" applyAlignment="1">
      <x:alignment vertical="top" wrapText="1"/>
    </x:xf>
    <x:xf numFmtId="0" fontId="1" fillId="7" borderId="0" xfId="0" applyNumberFormat="1" applyFont="1" applyFill="1" applyBorder="1" applyAlignment="1">
      <x:alignment vertical="top" wrapText="1"/>
    </x:xf>
    <x:xf numFmtId="206" fontId="1" fillId="7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5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/>
    <x:xf numFmtId="209" fontId="5" fillId="0" borderId="0" xfId="0" applyNumberFormat="1" applyFont="1" applyFill="1" applyBorder="1"/>
    <x:xf numFmtId="210" fontId="5" fillId="0" borderId="0" xfId="0" applyNumberFormat="1" applyFont="1" applyFill="1" applyBorder="1"/>
    <x:xf numFmtId="211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/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0" fontId="4" fillId="9" borderId="0" xfId="0" applyNumberFormat="1" applyFont="1" applyFill="1" applyBorder="1" applyAlignment="1">
      <x:alignment wrapText="1"/>
    </x:xf>
    <x:xf numFmtId="209" fontId="0" fillId="0" borderId="0" xfId="0" applyNumberFormat="1" applyFont="1" applyFill="1" applyBorder="1"/>
    <x:xf numFmtId="207" fontId="0" fillId="0" borderId="0" xfId="0" applyNumberFormat="1" applyFont="1" applyFill="1" applyBorder="1"/>
    <x:xf numFmtId="0" fontId="4" fillId="10" borderId="0" xfId="0" applyNumberFormat="1" applyFont="1" applyFill="1" applyBorder="1" applyAlignment="1">
      <x:alignment wrapText="1"/>
    </x:xf>
    <x:xf numFmtId="0" fontId="4" fillId="11" borderId="0" xfId="0" applyNumberFormat="1" applyFont="1" applyFill="1" applyBorder="1" applyAlignment="1">
      <x:alignment wrapText="1"/>
    </x:xf>
    <x:xf numFmtId="0" fontId="4" fillId="12" borderId="0" xfId="0" applyNumberFormat="1" applyFont="1" applyFill="1" applyBorder="1" applyAlignment="1">
      <x:alignment wrapText="1"/>
    </x:xf>
  </x:cellXfs>
  <x:cellStyles count="1">
    <x:cellStyle name="Normal" xfId="0"/>
  </x:cellStyles>
  <x:dxfs count="5">
    <x:dxf>
      <x:fill>
        <x:patternFill>
          <x:bgColor rgb="FFFFF3D6"/>
        </x:patternFill>
      </x:fill>
    </x:dxf>
    <x:dxf>
      <x:fill>
        <x:patternFill>
          <x:bgColor rgb="FFFFF3D6"/>
        </x:patternFill>
      </x:fill>
    </x:dxf>
    <x:dxf>
      <x:fill>
        <x:patternFill>
          <x:bgColor rgb="FFFFF3D6"/>
        </x:patternFill>
      </x:fill>
    </x:dxf>
    <x:dxf>
      <x:fill>
        <x:patternFill>
          <x:bgColor rgb="FFFFF3D6"/>
        </x:patternFill>
      </x:fill>
    </x:dxf>
    <x:dxf>
      <x:fill>
        <x:patternFill>
          <x:bgColor rgb="FFFFF3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f970d6523241a6" /><Relationship Type="http://schemas.openxmlformats.org/officeDocument/2006/relationships/theme" Target="/xl/theme/theme1.xml" Id="Redd04114113b47c7" /><Relationship Type="http://schemas.openxmlformats.org/officeDocument/2006/relationships/sharedStrings" Target="/xl/sharedStrings.xml" Id="R21fc9f4fd94d459d" /><Relationship Type="http://schemas.openxmlformats.org/officeDocument/2006/relationships/worksheet" Target="/xl/worksheets/sheet1.xml" Id="R7994ce7f0a1943a5" /><Relationship Type="http://schemas.openxmlformats.org/officeDocument/2006/relationships/worksheet" Target="/xl/worksheets/sheet2.xml" Id="Re1604c5d6d80461f" /><Relationship Type="http://schemas.openxmlformats.org/officeDocument/2006/relationships/worksheet" Target="/xl/worksheets/sheet3.xml" Id="Reac7d24d08ea40d1" /><Relationship Type="http://schemas.openxmlformats.org/officeDocument/2006/relationships/worksheet" Target="/xl/worksheets/sheet4.xml" Id="R3148187c965d41db" /><Relationship Type="http://schemas.openxmlformats.org/officeDocument/2006/relationships/worksheet" Target="/xl/worksheets/sheet5.xml" Id="Rb0f56da697f04694" /><Relationship Type="http://schemas.openxmlformats.org/officeDocument/2006/relationships/worksheet" Target="/xl/worksheets/sheet6.xml" Id="R478e2ac34e174f8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4" hidden="0" customWidth="1"/>
    <x:col min="2" max="2" width="17" hidden="0" customWidth="1"/>
    <x:col min="3" max="3" width="17" hidden="0" customWidth="1"/>
    <x:col min="4" max="4" width="23" hidden="0" customWidth="1"/>
    <x:col min="5" max="5" width="27" hidden="0" customWidth="1"/>
    <x:col min="6" max="6" width="72" hidden="0" customWidth="1"/>
    <x:col min="7" max="7" width="53" hidden="0" customWidth="1"/>
  </x:cols>
  <x:sheetData>
    <x:row r="1" ht="28" customHeight="1">
      <x:c r="A1" s="2" t="str">
        <x:v>Canopy-to-canopy benchmark inputs</x:v>
      </x:c>
      <x:c r="B1" s="1"/>
      <x:c r="C1" s="1"/>
      <x:c r="D1" s="1"/>
      <x:c r="E1" s="1"/>
      <x:c r="F1" s="1"/>
      <x:c r="G1" s="1"/>
    </x:row>
    <x:row r="2" ht="24" customHeight="1">
      <x:c r="A2" s="3" t="str">
        <x:v>Guil-Pedrosa et al. (2025). Four-branch plate. Blank numeric cells require documented property choices.</x:v>
      </x:c>
      <x:c r="B2" s="1"/>
      <x:c r="C2" s="1"/>
      <x:c r="D2" s="1"/>
      <x:c r="E2" s="1"/>
      <x:c r="F2" s="1"/>
      <x:c r="G2" s="1"/>
    </x:row>
    <x:row r="3">
      <x:c r="A3" s="1"/>
      <x:c r="B3" s="1"/>
      <x:c r="C3" s="1"/>
      <x:c r="D3" s="1"/>
      <x:c r="E3" s="1"/>
      <x:c r="F3" s="1"/>
      <x:c r="G3" s="1"/>
    </x:row>
    <x:row r="4" ht="34" customHeight="1">
      <x:c r="A4" s="24" t="str">
        <x:v>Parameter</x:v>
      </x:c>
      <x:c r="B4" s="24" t="str">
        <x:v>Numeric value</x:v>
      </x:c>
      <x:c r="C4" s="24" t="str">
        <x:v>Unit</x:v>
      </x:c>
      <x:c r="D4" s="24" t="str">
        <x:v>Evidence</x:v>
      </x:c>
      <x:c r="E4" s="24" t="str">
        <x:v>Source location</x:v>
      </x:c>
      <x:c r="F4" s="24" t="str">
        <x:v>Interpretation / action</x:v>
      </x:c>
      <x:c r="G4" s="24" t="str">
        <x:v>Source URL</x:v>
      </x:c>
    </x:row>
    <x:row r="5" ht="64" customHeight="1">
      <x:c r="A5" s="8" t="str">
        <x:v>Number of branches</x:v>
      </x:c>
      <x:c r="B5" s="8" t="n">
        <x:v>4</x:v>
      </x:c>
      <x:c r="C5" s="8" t="str">
        <x:v>count</x:v>
      </x:c>
      <x:c r="D5" s="8" t="str">
        <x:v>Reported / selected</x:v>
      </x:c>
      <x:c r="E5" s="8" t="str">
        <x:v>p.3, Table 1</x:v>
      </x:c>
      <x:c r="F5" s="8" t="str">
        <x:v>Use the four-branch constructal design.</x:v>
      </x:c>
      <x:c r="G5" s="8" t="str">
        <x:v>https://doi.org/10.1016/j.ijthermalsci.2025.109918</x:v>
      </x:c>
    </x:row>
    <x:row r="6" ht="64" customHeight="1">
      <x:c r="A6" s="25" t="str">
        <x:v>Solid material</x:v>
      </x:c>
      <x:c r="B6" s="25"/>
      <x:c r="C6" s="25" t="str"/>
      <x:c r="D6" s="25" t="str">
        <x:v>Reported</x:v>
      </x:c>
      <x:c r="E6" s="25" t="str">
        <x:v>p.4, Sec.3.1</x:v>
      </x:c>
      <x:c r="F6" s="25" t="str">
        <x:v>3D-printed AlSi10Mg aluminum.</x:v>
      </x:c>
      <x:c r="G6" s="25" t="str">
        <x:v>https://doi.org/10.1016/j.ijthermalsci.2025.109918</x:v>
      </x:c>
    </x:row>
    <x:row r="7" ht="64" customHeight="1">
      <x:c r="A7" s="8" t="str">
        <x:v>In-plane conductivity kx = ky</x:v>
      </x:c>
      <x:c r="B7" s="8" t="n">
        <x:v>123.4</x:v>
      </x:c>
      <x:c r="C7" s="8" t="str">
        <x:v>W/(m K)</x:v>
      </x:c>
      <x:c r="D7" s="8" t="str">
        <x:v>Reported</x:v>
      </x:c>
      <x:c r="E7" s="8" t="str">
        <x:v>p.4, Sec.3.1</x:v>
      </x:c>
      <x:c r="F7" s="8" t="str">
        <x:v>Align x and y with the plate plane.</x:v>
      </x:c>
      <x:c r="G7" s="8" t="str">
        <x:v>https://doi.org/10.1016/j.ijthermalsci.2025.109918</x:v>
      </x:c>
    </x:row>
    <x:row r="8" ht="64" customHeight="1">
      <x:c r="A8" s="25" t="str">
        <x:v>Through-thickness conductivity kz</x:v>
      </x:c>
      <x:c r="B8" s="25" t="n">
        <x:v>131</x:v>
      </x:c>
      <x:c r="C8" s="25" t="str">
        <x:v>W/(m K)</x:v>
      </x:c>
      <x:c r="D8" s="25" t="str">
        <x:v>Reported</x:v>
      </x:c>
      <x:c r="E8" s="25" t="str">
        <x:v>p.4, Sec.3.1</x:v>
      </x:c>
      <x:c r="F8" s="25" t="str">
        <x:v>Align z with the 10 mm thickness.</x:v>
      </x:c>
      <x:c r="G8" s="25" t="str">
        <x:v>https://doi.org/10.1016/j.ijthermalsci.2025.109918</x:v>
      </x:c>
    </x:row>
    <x:row r="9" ht="64" customHeight="1">
      <x:c r="A9" s="8" t="str">
        <x:v>Solid density</x:v>
      </x:c>
      <x:c r="B9" s="8" t="n">
        <x:v>2590</x:v>
      </x:c>
      <x:c r="C9" s="8" t="str">
        <x:v>kg/m^3</x:v>
      </x:c>
      <x:c r="D9" s="8" t="str">
        <x:v>Reported</x:v>
      </x:c>
      <x:c r="E9" s="8" t="str">
        <x:v>p.4, Sec.3.1</x:v>
      </x:c>
      <x:c r="F9" s="8" t="str">
        <x:v>Material property for the aluminum plate.</x:v>
      </x:c>
      <x:c r="G9" s="8" t="str">
        <x:v>https://doi.org/10.1016/j.ijthermalsci.2025.109918</x:v>
      </x:c>
    </x:row>
    <x:row r="10" ht="64" customHeight="1">
      <x:c r="A10" s="25" t="str">
        <x:v>Solid heat capacity</x:v>
      </x:c>
      <x:c r="B10" s="25" t="n">
        <x:v>915</x:v>
      </x:c>
      <x:c r="C10" s="25" t="str">
        <x:v>J/(kg K)</x:v>
      </x:c>
      <x:c r="D10" s="25" t="str">
        <x:v>Reported</x:v>
      </x:c>
      <x:c r="E10" s="25" t="str">
        <x:v>p.4, Sec.3.1</x:v>
      </x:c>
      <x:c r="F10" s="25" t="str">
        <x:v>Steady benchmark first; retain for later transient work.</x:v>
      </x:c>
      <x:c r="G10" s="25" t="str">
        <x:v>https://doi.org/10.1016/j.ijthermalsci.2025.109918</x:v>
      </x:c>
    </x:row>
    <x:row r="11" ht="64" customHeight="1">
      <x:c r="A11" s="8" t="str">
        <x:v>Coolant</x:v>
      </x:c>
      <x:c r="B11" s="8"/>
      <x:c r="C11" s="8" t="str"/>
      <x:c r="D11" s="8" t="str">
        <x:v>Reported</x:v>
      </x:c>
      <x:c r="E11" s="8" t="str">
        <x:v>pp.4–5, Sec.3</x:v>
      </x:c>
      <x:c r="F11" s="8" t="str">
        <x:v>Water. Property law and values must be documented.</x:v>
      </x:c>
      <x:c r="G11" s="8" t="str">
        <x:v>https://doi.org/10.1016/j.ijthermalsci.2025.109918</x:v>
      </x:c>
    </x:row>
    <x:row r="12" ht="64" customHeight="1">
      <x:c r="A12" s="25" t="str">
        <x:v>Inlet temperature</x:v>
      </x:c>
      <x:c r="B12" s="25" t="n">
        <x:v>23</x:v>
      </x:c>
      <x:c r="C12" s="25" t="str">
        <x:v>degC</x:v>
      </x:c>
      <x:c r="D12" s="25" t="str">
        <x:v>Reported</x:v>
      </x:c>
      <x:c r="E12" s="25" t="str">
        <x:v>p.4, Sec.3.1</x:v>
      </x:c>
      <x:c r="F12" s="25" t="str">
        <x:v>Apply to all three thermal cases.</x:v>
      </x:c>
      <x:c r="G12" s="25" t="str">
        <x:v>https://doi.org/10.1016/j.ijthermalsci.2025.109918</x:v>
      </x:c>
    </x:row>
    <x:row r="13" ht="64" customHeight="1">
      <x:c r="A13" s="8" t="str">
        <x:v>Ambient temperature setpoint</x:v>
      </x:c>
      <x:c r="B13" s="8" t="n">
        <x:v>24</x:v>
      </x:c>
      <x:c r="C13" s="8" t="str">
        <x:v>degC</x:v>
      </x:c>
      <x:c r="D13" s="8" t="str">
        <x:v>Reported</x:v>
      </x:c>
      <x:c r="E13" s="8" t="str">
        <x:v>p.4, Sec.3.1</x:v>
      </x:c>
      <x:c r="F13" s="8" t="str">
        <x:v>Experimental mean is 24.1 degC (p.9). Record which value is used.</x:v>
      </x:c>
      <x:c r="G13" s="8" t="str">
        <x:v>https://doi.org/10.1016/j.ijthermalsci.2025.109918</x:v>
      </x:c>
    </x:row>
    <x:row r="14" ht="64" customHeight="1">
      <x:c r="A14" s="25" t="str">
        <x:v>Bottom heater power</x:v>
      </x:c>
      <x:c r="B14" s="25" t="n">
        <x:v>200</x:v>
      </x:c>
      <x:c r="C14" s="25" t="str">
        <x:v>W</x:v>
      </x:c>
      <x:c r="D14" s="25" t="str">
        <x:v>Reported</x:v>
      </x:c>
      <x:c r="E14" s="25" t="str">
        <x:v>pp.4–5, Sec.3</x:v>
      </x:c>
      <x:c r="F14" s="25" t="str">
        <x:v>Uniform heat input over the entire square bottom.</x:v>
      </x:c>
      <x:c r="G14" s="25" t="str">
        <x:v>https://doi.org/10.1016/j.ijthermalsci.2025.109918</x:v>
      </x:c>
    </x:row>
    <x:row r="15" ht="64" customHeight="1">
      <x:c r="A15" s="8" t="str">
        <x:v>Heated bottom area</x:v>
      </x:c>
      <x:c r="B15" s="28" t="n">
        <x:f>('Geometry Checklist'!B5/1000)^2</x:f>
        <x:v>0.0225</x:v>
      </x:c>
      <x:c r="C15" s="8" t="str">
        <x:v>m^2</x:v>
      </x:c>
      <x:c r="D15" s="8" t="str">
        <x:v>Derived</x:v>
      </x:c>
      <x:c r="E15" s="8" t="str">
        <x:v>p.3, Fig.1; p.5, Sec.3.2</x:v>
      </x:c>
      <x:c r="F15" s="8" t="str">
        <x:v>Full 150 mm square. Formula links to geometry.</x:v>
      </x:c>
      <x:c r="G15" s="8" t="str">
        <x:v>https://doi.org/10.1016/j.ijthermalsci.2025.109918</x:v>
      </x:c>
    </x:row>
    <x:row r="16" ht="64" customHeight="1">
      <x:c r="A16" s="25" t="str">
        <x:v>Bottom heat flux</x:v>
      </x:c>
      <x:c r="B16" s="29" t="n">
        <x:f>B14/B15</x:f>
        <x:v>8888.888888888889</x:v>
      </x:c>
      <x:c r="C16" s="25" t="str">
        <x:v>W/m^2</x:v>
      </x:c>
      <x:c r="D16" s="25" t="str">
        <x:v>Derived</x:v>
      </x:c>
      <x:c r="E16" s="25" t="str">
        <x:v>p.5, Sec.3.2</x:v>
      </x:c>
      <x:c r="F16" s="25" t="str">
        <x:v>Power divided by heated area.</x:v>
      </x:c>
      <x:c r="G16" s="25" t="str">
        <x:v>https://doi.org/10.1016/j.ijthermalsci.2025.109918</x:v>
      </x:c>
    </x:row>
    <x:row r="17" ht="64" customHeight="1">
      <x:c r="A17" s="8" t="str">
        <x:v>Bottom heat flux</x:v>
      </x:c>
      <x:c r="B17" s="28" t="n">
        <x:f>B16/10000</x:f>
        <x:v>0.8888888888888888</x:v>
      </x:c>
      <x:c r="C17" s="8" t="str">
        <x:v>W/cm^2</x:v>
      </x:c>
      <x:c r="D17" s="8" t="str">
        <x:v>Derived</x:v>
      </x:c>
      <x:c r="E17" s="8" t="str">
        <x:v>p.5, Sec.3.2</x:v>
      </x:c>
      <x:c r="F17" s="8" t="str">
        <x:v>This is a low-heat-flux benchmark.</x:v>
      </x:c>
      <x:c r="G17" s="8" t="str">
        <x:v>https://doi.org/10.1016/j.ijthermalsci.2025.109918</x:v>
      </x:c>
    </x:row>
    <x:row r="18" ht="64" customHeight="1">
      <x:c r="A18" s="25" t="str">
        <x:v>External lateral walls</x:v>
      </x:c>
      <x:c r="B18" s="25"/>
      <x:c r="C18" s="25" t="str"/>
      <x:c r="D18" s="25" t="str">
        <x:v>Reported</x:v>
      </x:c>
      <x:c r="E18" s="25" t="str">
        <x:v>p.5, Sec.3.2</x:v>
      </x:c>
      <x:c r="F18" s="25" t="str">
        <x:v>Adiabatic.</x:v>
      </x:c>
      <x:c r="G18" s="25" t="str">
        <x:v>https://doi.org/10.1016/j.ijthermalsci.2025.109918</x:v>
      </x:c>
    </x:row>
    <x:row r="19" ht="64" customHeight="1">
      <x:c r="A19" s="8" t="str">
        <x:v>Upper surface</x:v>
      </x:c>
      <x:c r="B19" s="8"/>
      <x:c r="C19" s="8" t="str"/>
      <x:c r="D19" s="8" t="str">
        <x:v>Reported</x:v>
      </x:c>
      <x:c r="E19" s="8" t="str">
        <x:v>p.5, Eq.11</x:v>
      </x:c>
      <x:c r="F19" s="8" t="str">
        <x:v>Natural convection to ambient using the piecewise Kitamura correlation. Do not make this surface adiabatic.</x:v>
      </x:c>
      <x:c r="G19" s="8" t="str">
        <x:v>https://doi.org/10.1016/j.ijthermalsci.2025.109918</x:v>
      </x:c>
    </x:row>
    <x:row r="20" ht="64" customHeight="1">
      <x:c r="A20" s="25" t="str">
        <x:v>Flow model</x:v>
      </x:c>
      <x:c r="B20" s="25"/>
      <x:c r="C20" s="25" t="str"/>
      <x:c r="D20" s="25" t="str">
        <x:v>Reported</x:v>
      </x:c>
      <x:c r="E20" s="25" t="str">
        <x:v>p.5, Sec.3.2</x:v>
      </x:c>
      <x:c r="F20" s="25" t="str">
        <x:v>Steady, laminar, incompressible conjugate heat transfer.</x:v>
      </x:c>
      <x:c r="G20" s="25" t="str">
        <x:v>https://doi.org/10.1016/j.ijthermalsci.2025.109918</x:v>
      </x:c>
    </x:row>
    <x:row r="21" ht="64" customHeight="1">
      <x:c r="A21" s="8" t="str">
        <x:v>Inlet velocity profile</x:v>
      </x:c>
      <x:c r="B21" s="8"/>
      <x:c r="C21" s="8" t="str"/>
      <x:c r="D21" s="8" t="str">
        <x:v>Reported</x:v>
      </x:c>
      <x:c r="E21" s="8" t="str">
        <x:v>p.5, Sec.3.2</x:v>
      </x:c>
      <x:c r="F21" s="8" t="str">
        <x:v>Fully developed circular-pipe profile. u(r)=2 Umean [1-(r/R)^2], Umean=mass flow/(rho pi R^2).</x:v>
      </x:c>
      <x:c r="G21" s="8" t="str">
        <x:v>https://doi.org/10.1016/j.ijthermalsci.2025.109918</x:v>
      </x:c>
    </x:row>
    <x:row r="22" ht="64" customHeight="1">
      <x:c r="A22" s="25" t="str">
        <x:v>Outlet gauge pressure</x:v>
      </x:c>
      <x:c r="B22" s="25" t="n">
        <x:v>0</x:v>
      </x:c>
      <x:c r="C22" s="25" t="str">
        <x:v>Pa</x:v>
      </x:c>
      <x:c r="D22" s="25" t="str">
        <x:v>Reference choice</x:v>
      </x:c>
      <x:c r="E22" s="25" t="str">
        <x:v>p.5, Sec.3.2</x:v>
      </x:c>
      <x:c r="F22" s="25" t="str">
        <x:v>Pressure outlet. Zero is the Fluent gauge reference choice.</x:v>
      </x:c>
      <x:c r="G22" s="25" t="str">
        <x:v>https://doi.org/10.1016/j.ijthermalsci.2025.109918</x:v>
      </x:c>
    </x:row>
    <x:row r="23" ht="64" customHeight="1">
      <x:c r="A23" s="8" t="str">
        <x:v>Fluid-solid interfaces</x:v>
      </x:c>
      <x:c r="B23" s="8"/>
      <x:c r="C23" s="8" t="str"/>
      <x:c r="D23" s="8" t="str">
        <x:v>Reported</x:v>
      </x:c>
      <x:c r="E23" s="8" t="str">
        <x:v>p.5, Sec.3.2</x:v>
      </x:c>
      <x:c r="F23" s="8" t="str">
        <x:v>No-slip and coupled temperature / heat-flux continuity.</x:v>
      </x:c>
      <x:c r="G23" s="8" t="str">
        <x:v>https://doi.org/10.1016/j.ijthermalsci.2025.109918</x:v>
      </x:c>
    </x:row>
    <x:row r="24" ht="64" customHeight="1">
      <x:c r="A24" s="34" t="str">
        <x:v>Water density</x:v>
      </x:c>
      <x:c r="B24" s="34"/>
      <x:c r="C24" s="34" t="str">
        <x:v>kg/m^3</x:v>
      </x:c>
      <x:c r="D24" s="34" t="str">
        <x:v>Unresolved</x:v>
      </x:c>
      <x:c r="E24" s="34" t="str">
        <x:v>p.5, Sec.3.2</x:v>
      </x:c>
      <x:c r="F24" s="34" t="str">
        <x:v>Select an authoritative property source and temperature treatment before solving.</x:v>
      </x:c>
      <x:c r="G24" s="34" t="str">
        <x:v>https://doi.org/10.1016/j.ijthermalsci.2025.109918</x:v>
      </x:c>
    </x:row>
    <x:row r="25" ht="64" customHeight="1">
      <x:c r="A25" s="34" t="str">
        <x:v>Water dynamic viscosity</x:v>
      </x:c>
      <x:c r="B25" s="34"/>
      <x:c r="C25" s="34" t="str">
        <x:v>Pa s</x:v>
      </x:c>
      <x:c r="D25" s="34" t="str">
        <x:v>Unresolved</x:v>
      </x:c>
      <x:c r="E25" s="34" t="str">
        <x:v>p.5, Sec.3.2</x:v>
      </x:c>
      <x:c r="F25" s="34" t="str">
        <x:v>Use the same documented property model in all cases.</x:v>
      </x:c>
      <x:c r="G25" s="34" t="str">
        <x:v>https://doi.org/10.1016/j.ijthermalsci.2025.109918</x:v>
      </x:c>
    </x:row>
    <x:row r="26" ht="64" customHeight="1">
      <x:c r="A26" s="34" t="str">
        <x:v>Water heat capacity</x:v>
      </x:c>
      <x:c r="B26" s="34"/>
      <x:c r="C26" s="34" t="str">
        <x:v>J/(kg K)</x:v>
      </x:c>
      <x:c r="D26" s="34" t="str">
        <x:v>Unresolved</x:v>
      </x:c>
      <x:c r="E26" s="34" t="str">
        <x:v>p.5, Sec.3.2</x:v>
      </x:c>
      <x:c r="F26" s="34" t="str">
        <x:v>Needed for energy balance and coolant temperature rise.</x:v>
      </x:c>
      <x:c r="G26" s="34" t="str">
        <x:v>https://doi.org/10.1016/j.ijthermalsci.2025.109918</x:v>
      </x:c>
    </x:row>
    <x:row r="27" ht="64" customHeight="1">
      <x:c r="A27" s="34" t="str">
        <x:v>Water thermal conductivity</x:v>
      </x:c>
      <x:c r="B27" s="34"/>
      <x:c r="C27" s="34" t="str">
        <x:v>W/(m K)</x:v>
      </x:c>
      <x:c r="D27" s="34" t="str">
        <x:v>Unresolved</x:v>
      </x:c>
      <x:c r="E27" s="34" t="str">
        <x:v>p.5, Sec.3.2</x:v>
      </x:c>
      <x:c r="F27" s="34" t="str">
        <x:v>Do not copy a reference temperature from a different paper.</x:v>
      </x:c>
      <x:c r="G27" s="34" t="str">
        <x:v>https://doi.org/10.1016/j.ijthermalsci.2025.109918</x:v>
      </x:c>
    </x:row>
    <x:row r="28" ht="64" customHeight="1">
      <x:c r="A28" s="25" t="str">
        <x:v>Experimental pressure-fit a</x:v>
      </x:c>
      <x:c r="B28" s="25" t="n">
        <x:v>1800000</x:v>
      </x:c>
      <x:c r="C28" s="25" t="str">
        <x:v>Pa s^2/kg^2</x:v>
      </x:c>
      <x:c r="D28" s="25" t="str">
        <x:v>Reported fit</x:v>
      </x:c>
      <x:c r="E28" s="25" t="str">
        <x:v>p.8, Table 4; Eq.14</x:v>
      </x:c>
      <x:c r="F28" s="25" t="str">
        <x:v>Four-branch experimental fit. Includes test setup effects.</x:v>
      </x:c>
      <x:c r="G28" s="25" t="str">
        <x:v>https://doi.org/10.1016/j.ijthermalsci.2025.109918</x:v>
      </x:c>
    </x:row>
    <x:row r="29" ht="64" customHeight="1">
      <x:c r="A29" s="8" t="str">
        <x:v>Experimental pressure-fit b</x:v>
      </x:c>
      <x:c r="B29" s="8" t="n">
        <x:v>8600</x:v>
      </x:c>
      <x:c r="C29" s="8" t="str">
        <x:v>Pa s/kg</x:v>
      </x:c>
      <x:c r="D29" s="8" t="str">
        <x:v>Reported fit</x:v>
      </x:c>
      <x:c r="E29" s="8" t="str">
        <x:v>p.8, Table 4; Eq.14</x:v>
      </x:c>
      <x:c r="F29" s="8" t="str">
        <x:v>Delta P = a (mass flow)^2 + b (mass flow), with mass flow in kg/s.</x:v>
      </x:c>
      <x:c r="G29" s="8" t="str">
        <x:v>https://doi.org/10.1016/j.ijthermalsci.2025.109918</x:v>
      </x:c>
    </x:row>
    <x:row r="30" ht="64" customHeight="1">
      <x:c r="A30" s="25" t="str">
        <x:v>Hydraulic test lower flow</x:v>
      </x:c>
      <x:c r="B30" s="25" t="n">
        <x:v>4</x:v>
      </x:c>
      <x:c r="C30" s="25" t="str">
        <x:v>kg/h</x:v>
      </x:c>
      <x:c r="D30" s="25" t="str">
        <x:v>Reported range</x:v>
      </x:c>
      <x:c r="E30" s="25" t="str">
        <x:v>p.4, Sec.3.1</x:v>
      </x:c>
      <x:c r="F30" s="25" t="str">
        <x:v>Seven points in total; individual flow settings are not tabulated.</x:v>
      </x:c>
      <x:c r="G30" s="25" t="str">
        <x:v>https://doi.org/10.1016/j.ijthermalsci.2025.109918</x:v>
      </x:c>
    </x:row>
    <x:row r="31" ht="64" customHeight="1">
      <x:c r="A31" s="8" t="str">
        <x:v>Hydraulic test upper flow</x:v>
      </x:c>
      <x:c r="B31" s="8" t="n">
        <x:v>27.8</x:v>
      </x:c>
      <x:c r="C31" s="8" t="str">
        <x:v>kg/h</x:v>
      </x:c>
      <x:c r="D31" s="8" t="str">
        <x:v>Reported range</x:v>
      </x:c>
      <x:c r="E31" s="8" t="str">
        <x:v>p.4, Sec.3.1</x:v>
      </x:c>
      <x:c r="F31" s="8" t="str">
        <x:v>Hydraulic tests are isothermal at 23 degC.</x:v>
      </x:c>
      <x:c r="G31" s="8" t="str">
        <x:v>https://doi.org/10.1016/j.ijthermalsci.2025.109918</x:v>
      </x:c>
    </x:row>
    <x:row r="32" ht="64" customHeight="1">
      <x:c r="A32" s="25" t="str">
        <x:v>Reference simulation software</x:v>
      </x:c>
      <x:c r="B32" s="25"/>
      <x:c r="C32" s="25" t="str"/>
      <x:c r="D32" s="25" t="str">
        <x:v>Reported</x:v>
      </x:c>
      <x:c r="E32" s="25" t="str">
        <x:v>p.5, Sec.3.2</x:v>
      </x:c>
      <x:c r="F32" s="25" t="str">
        <x:v>COMSOL. Reproduce the physical model in Fluent; its numerical controls need independent verification.</x:v>
      </x:c>
      <x:c r="G32" s="25" t="str">
        <x:v>https://doi.org/10.1016/j.ijthermalsci.2025.109918</x:v>
      </x:c>
    </x:row>
  </x:sheetData>
  <x:conditionalFormatting sqref="D5:D31">
    <x:cfRule type="containsText" dxfId="0" priority="1" operator="containsText" text="Not specified"/>
    <x:cfRule type="containsText" dxfId="1" priority="2" operator="containsText" text="Needs clarification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4" hidden="0" customWidth="1"/>
    <x:col min="2" max="2" width="17" hidden="0" customWidth="1"/>
    <x:col min="3" max="3" width="17" hidden="0" customWidth="1"/>
    <x:col min="4" max="4" width="23" hidden="0" customWidth="1"/>
    <x:col min="5" max="5" width="27" hidden="0" customWidth="1"/>
    <x:col min="6" max="6" width="72" hidden="0" customWidth="1"/>
    <x:col min="7" max="7" width="53" hidden="0" customWidth="1"/>
  </x:cols>
  <x:sheetData>
    <x:row r="1" ht="28" customHeight="1">
      <x:c r="A1" s="2" t="str">
        <x:v>Four-branch nominal geometry</x:v>
      </x:c>
      <x:c r="B1" s="1"/>
      <x:c r="C1" s="1"/>
      <x:c r="D1" s="1"/>
      <x:c r="E1" s="1"/>
      <x:c r="F1" s="1"/>
      <x:c r="G1" s="1"/>
    </x:row>
    <x:row r="2" ht="24" customHeight="1">
      <x:c r="A2" s="3" t="str">
        <x:v>Coordinates below are a reconstruction from Fig.1 and Table 1, in mm. Native CAD is not supplied.</x:v>
      </x:c>
      <x:c r="B2" s="1"/>
      <x:c r="C2" s="1"/>
      <x:c r="D2" s="1"/>
      <x:c r="E2" s="1"/>
      <x:c r="F2" s="1"/>
      <x:c r="G2" s="1"/>
    </x:row>
    <x:row r="3">
      <x:c r="A3" s="1"/>
      <x:c r="B3" s="1"/>
      <x:c r="C3" s="1"/>
      <x:c r="D3" s="1"/>
      <x:c r="E3" s="1"/>
      <x:c r="F3" s="1"/>
      <x:c r="G3" s="1"/>
    </x:row>
    <x:row r="4" ht="34" customHeight="1">
      <x:c r="A4" s="24" t="str">
        <x:v>Parameter</x:v>
      </x:c>
      <x:c r="B4" s="24" t="str">
        <x:v>Numeric value</x:v>
      </x:c>
      <x:c r="C4" s="24" t="str">
        <x:v>Unit</x:v>
      </x:c>
      <x:c r="D4" s="24" t="str">
        <x:v>Evidence</x:v>
      </x:c>
      <x:c r="E4" s="24" t="str">
        <x:v>Source location</x:v>
      </x:c>
      <x:c r="F4" s="24" t="str">
        <x:v>Interpretation / action</x:v>
      </x:c>
      <x:c r="G4" s="24" t="str">
        <x:v>Source URL</x:v>
      </x:c>
    </x:row>
    <x:row r="5" ht="64" customHeight="1">
      <x:c r="A5" s="8" t="str">
        <x:v>Plate side L</x:v>
      </x:c>
      <x:c r="B5" s="26" t="n">
        <x:v>150</x:v>
      </x:c>
      <x:c r="C5" s="8" t="str">
        <x:v>mm</x:v>
      </x:c>
      <x:c r="D5" s="8" t="str">
        <x:v>Reported</x:v>
      </x:c>
      <x:c r="E5" s="8" t="str">
        <x:v>p.3, Sec.2</x:v>
      </x:c>
      <x:c r="F5" s="8" t="str">
        <x:v>Square plate in x and y.</x:v>
      </x:c>
      <x:c r="G5" s="8" t="str">
        <x:v>https://doi.org/10.1016/j.ijthermalsci.2025.109918</x:v>
      </x:c>
    </x:row>
    <x:row r="6" ht="64" customHeight="1">
      <x:c r="A6" s="25" t="str">
        <x:v>Plate thickness s</x:v>
      </x:c>
      <x:c r="B6" s="27" t="n">
        <x:v>10</x:v>
      </x:c>
      <x:c r="C6" s="25" t="str">
        <x:v>mm</x:v>
      </x:c>
      <x:c r="D6" s="25" t="str">
        <x:v>Reported</x:v>
      </x:c>
      <x:c r="E6" s="25" t="str">
        <x:v>p.3, Sec.2</x:v>
      </x:c>
      <x:c r="F6" s="25" t="str">
        <x:v>Plate extends z = 0 to s.</x:v>
      </x:c>
      <x:c r="G6" s="25" t="str">
        <x:v>https://doi.org/10.1016/j.ijthermalsci.2025.109918</x:v>
      </x:c>
    </x:row>
    <x:row r="7" ht="64" customHeight="1">
      <x:c r="A7" s="8" t="str">
        <x:v>Edge offset H</x:v>
      </x:c>
      <x:c r="B7" s="26" t="n">
        <x:v>25</x:v>
      </x:c>
      <x:c r="C7" s="8" t="str">
        <x:v>mm</x:v>
      </x:c>
      <x:c r="D7" s="8" t="str">
        <x:v>Reported</x:v>
      </x:c>
      <x:c r="E7" s="8" t="str">
        <x:v>p.3, Fig.1; Sec.2</x:v>
      </x:c>
      <x:c r="F7" s="8" t="str">
        <x:v>Offsets to trunk axes and first / last branch axes.</x:v>
      </x:c>
      <x:c r="G7" s="8" t="str">
        <x:v>https://doi.org/10.1016/j.ijthermalsci.2025.109918</x:v>
      </x:c>
    </x:row>
    <x:row r="8" ht="64" customHeight="1">
      <x:c r="A8" s="25" t="str">
        <x:v>Branch count N</x:v>
      </x:c>
      <x:c r="B8" s="27" t="n">
        <x:f>'Benchmark Inputs'!B5</x:f>
        <x:v>4</x:v>
      </x:c>
      <x:c r="C8" s="25" t="str">
        <x:v>count</x:v>
      </x:c>
      <x:c r="D8" s="25" t="str">
        <x:v>Linked selection</x:v>
      </x:c>
      <x:c r="E8" s="25" t="str">
        <x:v>p.3, Table 1</x:v>
      </x:c>
      <x:c r="F8" s="25" t="str">
        <x:v>Four-branch constructal configuration.</x:v>
      </x:c>
      <x:c r="G8" s="25" t="str">
        <x:v>https://doi.org/10.1016/j.ijthermalsci.2025.109918</x:v>
      </x:c>
    </x:row>
    <x:row r="9" ht="64" customHeight="1">
      <x:c r="A9" s="8" t="str">
        <x:v>Trunk diameter DT</x:v>
      </x:c>
      <x:c r="B9" s="26" t="n">
        <x:v>6</x:v>
      </x:c>
      <x:c r="C9" s="8" t="str">
        <x:v>mm</x:v>
      </x:c>
      <x:c r="D9" s="8" t="str">
        <x:v>Reported</x:v>
      </x:c>
      <x:c r="E9" s="8" t="str">
        <x:v>p.3, Table 1</x:v>
      </x:c>
      <x:c r="F9" s="8" t="str">
        <x:v>Both inlet and outlet trunks.</x:v>
      </x:c>
      <x:c r="G9" s="8" t="str">
        <x:v>https://doi.org/10.1016/j.ijthermalsci.2025.109918</x:v>
      </x:c>
    </x:row>
    <x:row r="10" ht="64" customHeight="1">
      <x:c r="A10" s="25" t="str">
        <x:v>Branch diameter D1</x:v>
      </x:c>
      <x:c r="B10" s="27" t="n">
        <x:v>3.1</x:v>
      </x:c>
      <x:c r="C10" s="25" t="str">
        <x:v>mm</x:v>
      </x:c>
      <x:c r="D10" s="25" t="str">
        <x:v>Reported</x:v>
      </x:c>
      <x:c r="E10" s="25" t="str">
        <x:v>p.3, Table 1</x:v>
      </x:c>
      <x:c r="F10" s="25" t="str">
        <x:v>Nearest to the shared inlet / outlet face.</x:v>
      </x:c>
      <x:c r="G10" s="25" t="str">
        <x:v>https://doi.org/10.1016/j.ijthermalsci.2025.109918</x:v>
      </x:c>
    </x:row>
    <x:row r="11" ht="64" customHeight="1">
      <x:c r="A11" s="8" t="str">
        <x:v>Branch diameter D2</x:v>
      </x:c>
      <x:c r="B11" s="26" t="n">
        <x:v>3.7</x:v>
      </x:c>
      <x:c r="C11" s="8" t="str">
        <x:v>mm</x:v>
      </x:c>
      <x:c r="D11" s="8" t="str">
        <x:v>Reported</x:v>
      </x:c>
      <x:c r="E11" s="8" t="str">
        <x:v>p.3, Table 1</x:v>
      </x:c>
      <x:c r="F11" s="8" t="str">
        <x:v>Second branch.</x:v>
      </x:c>
      <x:c r="G11" s="8" t="str">
        <x:v>https://doi.org/10.1016/j.ijthermalsci.2025.109918</x:v>
      </x:c>
    </x:row>
    <x:row r="12" ht="64" customHeight="1">
      <x:c r="A12" s="25" t="str">
        <x:v>Branch diameter D3</x:v>
      </x:c>
      <x:c r="B12" s="27" t="n">
        <x:v>4.4</x:v>
      </x:c>
      <x:c r="C12" s="25" t="str">
        <x:v>mm</x:v>
      </x:c>
      <x:c r="D12" s="25" t="str">
        <x:v>Reported</x:v>
      </x:c>
      <x:c r="E12" s="25" t="str">
        <x:v>p.3, Table 1</x:v>
      </x:c>
      <x:c r="F12" s="25" t="str">
        <x:v>Third branch.</x:v>
      </x:c>
      <x:c r="G12" s="25" t="str">
        <x:v>https://doi.org/10.1016/j.ijthermalsci.2025.109918</x:v>
      </x:c>
    </x:row>
    <x:row r="13" ht="64" customHeight="1">
      <x:c r="A13" s="8" t="str">
        <x:v>Branch diameter D4</x:v>
      </x:c>
      <x:c r="B13" s="26" t="n">
        <x:v>4.9</x:v>
      </x:c>
      <x:c r="C13" s="8" t="str">
        <x:v>mm</x:v>
      </x:c>
      <x:c r="D13" s="8" t="str">
        <x:v>Reported</x:v>
      </x:c>
      <x:c r="E13" s="8" t="str">
        <x:v>p.3, Table 1</x:v>
      </x:c>
      <x:c r="F13" s="8" t="str">
        <x:v>Furthest from inlet / outlet.</x:v>
      </x:c>
      <x:c r="G13" s="8" t="str">
        <x:v>https://doi.org/10.1016/j.ijthermalsci.2025.109918</x:v>
      </x:c>
    </x:row>
    <x:row r="14" ht="64" customHeight="1">
      <x:c r="A14" s="25" t="str">
        <x:v>Branch spacing S</x:v>
      </x:c>
      <x:c r="B14" s="27" t="n">
        <x:f>(B5-2*B7)/(B8-1)</x:f>
        <x:v>33.333333333333336</x:v>
      </x:c>
      <x:c r="C14" s="25" t="str">
        <x:v>mm</x:v>
      </x:c>
      <x:c r="D14" s="25" t="str">
        <x:v>Derived</x:v>
      </x:c>
      <x:c r="E14" s="25" t="str">
        <x:v>p.3, Eq.1</x:v>
      </x:c>
      <x:c r="F14" s="25" t="str">
        <x:v>S=(L-2H)/(N-1).</x:v>
      </x:c>
      <x:c r="G14" s="25" t="str">
        <x:v>https://doi.org/10.1016/j.ijthermalsci.2025.109918</x:v>
      </x:c>
    </x:row>
    <x:row r="15" ht="64" customHeight="1">
      <x:c r="A15" s="8" t="str">
        <x:v>Channel center elevation z</x:v>
      </x:c>
      <x:c r="B15" s="26" t="n">
        <x:f>B6/2</x:f>
        <x:v>5</x:v>
      </x:c>
      <x:c r="C15" s="8" t="str">
        <x:v>mm</x:v>
      </x:c>
      <x:c r="D15" s="8" t="str">
        <x:v>Derived</x:v>
      </x:c>
      <x:c r="E15" s="8" t="str">
        <x:v>p.3, Sec.2</x:v>
      </x:c>
      <x:c r="F15" s="8" t="str">
        <x:v>All circular channel axes at mid-thickness.</x:v>
      </x:c>
      <x:c r="G15" s="8" t="str">
        <x:v>https://doi.org/10.1016/j.ijthermalsci.2025.109918</x:v>
      </x:c>
    </x:row>
    <x:row r="16" ht="64" customHeight="1">
      <x:c r="A16" s="25" t="str">
        <x:v>Outlet trunk x</x:v>
      </x:c>
      <x:c r="B16" s="27" t="n">
        <x:f>B7</x:f>
        <x:v>25</x:v>
      </x:c>
      <x:c r="C16" s="25" t="str">
        <x:v>mm</x:v>
      </x:c>
      <x:c r="D16" s="25" t="str">
        <x:v>Coordinate convention</x:v>
      </x:c>
      <x:c r="E16" s="25" t="str">
        <x:v>p.3, Fig.1</x:v>
      </x:c>
      <x:c r="F16" s="25" t="str">
        <x:v>Left trunk. Inlet and outlet on y=0 face.</x:v>
      </x:c>
      <x:c r="G16" s="25" t="str">
        <x:v>https://doi.org/10.1016/j.ijthermalsci.2025.109918</x:v>
      </x:c>
    </x:row>
    <x:row r="17" ht="64" customHeight="1">
      <x:c r="A17" s="8" t="str">
        <x:v>Inlet trunk x</x:v>
      </x:c>
      <x:c r="B17" s="26" t="n">
        <x:f>B5-B7</x:f>
        <x:v>125</x:v>
      </x:c>
      <x:c r="C17" s="8" t="str">
        <x:v>mm</x:v>
      </x:c>
      <x:c r="D17" s="8" t="str">
        <x:v>Coordinate convention</x:v>
      </x:c>
      <x:c r="E17" s="8" t="str">
        <x:v>p.3, Fig.1</x:v>
      </x:c>
      <x:c r="F17" s="8" t="str">
        <x:v>Right trunk. Origin at lower corner of shared port face.</x:v>
      </x:c>
      <x:c r="G17" s="8" t="str">
        <x:v>https://doi.org/10.1016/j.ijthermalsci.2025.109918</x:v>
      </x:c>
    </x:row>
    <x:row r="18" ht="64" customHeight="1">
      <x:c r="A18" s="25" t="str">
        <x:v>Branch 1 y</x:v>
      </x:c>
      <x:c r="B18" s="27" t="n">
        <x:f>B7</x:f>
        <x:v>25</x:v>
      </x:c>
      <x:c r="C18" s="25" t="str">
        <x:v>mm</x:v>
      </x:c>
      <x:c r="D18" s="25" t="str">
        <x:v>Derived coordinate</x:v>
      </x:c>
      <x:c r="E18" s="25" t="str">
        <x:v>p.3, Fig.1</x:v>
      </x:c>
      <x:c r="F18" s="25" t="str">
        <x:v>Branch runs between trunk axes in x.</x:v>
      </x:c>
      <x:c r="G18" s="25" t="str">
        <x:v>https://doi.org/10.1016/j.ijthermalsci.2025.109918</x:v>
      </x:c>
    </x:row>
    <x:row r="19" ht="64" customHeight="1">
      <x:c r="A19" s="8" t="str">
        <x:v>Branch 2 y</x:v>
      </x:c>
      <x:c r="B19" s="26" t="n">
        <x:f>B18+B14</x:f>
        <x:v>58.333333333333336</x:v>
      </x:c>
      <x:c r="C19" s="8" t="str">
        <x:v>mm</x:v>
      </x:c>
      <x:c r="D19" s="8" t="str">
        <x:v>Derived coordinate</x:v>
      </x:c>
      <x:c r="E19" s="8" t="str">
        <x:v>p.3, Eq.1</x:v>
      </x:c>
      <x:c r="F19" s="8" t="str">
        <x:v>Branch runs between trunk axes in x.</x:v>
      </x:c>
      <x:c r="G19" s="8" t="str">
        <x:v>https://doi.org/10.1016/j.ijthermalsci.2025.109918</x:v>
      </x:c>
    </x:row>
    <x:row r="20" ht="64" customHeight="1">
      <x:c r="A20" s="25" t="str">
        <x:v>Branch 3 y</x:v>
      </x:c>
      <x:c r="B20" s="27" t="n">
        <x:f>B19+B14</x:f>
        <x:v>91.66666666666667</x:v>
      </x:c>
      <x:c r="C20" s="25" t="str">
        <x:v>mm</x:v>
      </x:c>
      <x:c r="D20" s="25" t="str">
        <x:v>Derived coordinate</x:v>
      </x:c>
      <x:c r="E20" s="25" t="str">
        <x:v>p.3, Eq.1</x:v>
      </x:c>
      <x:c r="F20" s="25" t="str">
        <x:v>Branch runs between trunk axes in x.</x:v>
      </x:c>
      <x:c r="G20" s="25" t="str">
        <x:v>https://doi.org/10.1016/j.ijthermalsci.2025.109918</x:v>
      </x:c>
    </x:row>
    <x:row r="21" ht="64" customHeight="1">
      <x:c r="A21" s="8" t="str">
        <x:v>Branch 4 y</x:v>
      </x:c>
      <x:c r="B21" s="26" t="n">
        <x:f>B20+B14</x:f>
        <x:v>125</x:v>
      </x:c>
      <x:c r="C21" s="8" t="str">
        <x:v>mm</x:v>
      </x:c>
      <x:c r="D21" s="8" t="str">
        <x:v>Derived coordinate</x:v>
      </x:c>
      <x:c r="E21" s="8" t="str">
        <x:v>p.3, Eq.1</x:v>
      </x:c>
      <x:c r="F21" s="8" t="str">
        <x:v>Branch runs between trunk axes in x.</x:v>
      </x:c>
      <x:c r="G21" s="8" t="str">
        <x:v>https://doi.org/10.1016/j.ijthermalsci.2025.109918</x:v>
      </x:c>
    </x:row>
    <x:row r="22" ht="64" customHeight="1">
      <x:c r="A22" s="25" t="str">
        <x:v>Branch centerline length</x:v>
      </x:c>
      <x:c r="B22" s="27" t="n">
        <x:f>B5-2*B7</x:f>
        <x:v>100</x:v>
      </x:c>
      <x:c r="C22" s="25" t="str">
        <x:v>mm</x:v>
      </x:c>
      <x:c r="D22" s="25" t="str">
        <x:v>Derived nominal</x:v>
      </x:c>
      <x:c r="E22" s="25" t="str">
        <x:v>p.3, Eq.2</x:v>
      </x:c>
      <x:c r="F22" s="25" t="str">
        <x:v>L-2H. Actual union volume accounts for intersecting cylinders.</x:v>
      </x:c>
      <x:c r="G22" s="25" t="str">
        <x:v>https://doi.org/10.1016/j.ijthermalsci.2025.109918</x:v>
      </x:c>
    </x:row>
    <x:row r="23" ht="64" customHeight="1">
      <x:c r="A23" s="8" t="str">
        <x:v>Trunk nominal centerline extent</x:v>
      </x:c>
      <x:c r="B23" s="26" t="n">
        <x:f>B5-B7</x:f>
        <x:v>125</x:v>
      </x:c>
      <x:c r="C23" s="8" t="str">
        <x:v>mm</x:v>
      </x:c>
      <x:c r="D23" s="8" t="str">
        <x:v>Derived nominal</x:v>
      </x:c>
      <x:c r="E23" s="8" t="str">
        <x:v>p.3, Eq.2</x:v>
      </x:c>
      <x:c r="F23" s="8" t="str">
        <x:v>y=0 to L-H. Exact end-cap and junction details need confirmation.</x:v>
      </x:c>
      <x:c r="G23" s="8" t="str">
        <x:v>https://doi.org/10.1016/j.ijthermalsci.2025.109918</x:v>
      </x:c>
    </x:row>
    <x:row r="24" ht="64" customHeight="1">
      <x:c r="A24" s="25" t="str">
        <x:v>Minimum trunk wall ligament</x:v>
      </x:c>
      <x:c r="B24" s="27" t="n">
        <x:f>(B6-B9)/2</x:f>
        <x:v>2</x:v>
      </x:c>
      <x:c r="C24" s="25" t="str">
        <x:v>mm</x:v>
      </x:c>
      <x:c r="D24" s="25" t="str">
        <x:v>Derived nominal</x:v>
      </x:c>
      <x:c r="E24" s="25" t="str">
        <x:v>p.3, Fig.1; Table 1</x:v>
      </x:c>
      <x:c r="F24" s="25" t="str">
        <x:v>(s-DT)/2 above and below trunk.</x:v>
      </x:c>
      <x:c r="G24" s="25" t="str">
        <x:v>https://doi.org/10.1016/j.ijthermalsci.2025.109918</x:v>
      </x:c>
    </x:row>
    <x:row r="25" ht="64" customHeight="1">
      <x:c r="A25" s="8" t="str">
        <x:v>Design fluid volume</x:v>
      </x:c>
      <x:c r="B25" s="26" t="n">
        <x:v>12.4</x:v>
      </x:c>
      <x:c r="C25" s="8" t="str">
        <x:v>cm^3</x:v>
      </x:c>
      <x:c r="D25" s="8" t="str">
        <x:v>Reported nominal</x:v>
      </x:c>
      <x:c r="E25" s="8" t="str">
        <x:v>p.3, Eq.2</x:v>
      </x:c>
      <x:c r="F25" s="8" t="str">
        <x:v>Target used by the design study.</x:v>
      </x:c>
      <x:c r="G25" s="8" t="str">
        <x:v>https://doi.org/10.1016/j.ijthermalsci.2025.109918</x:v>
      </x:c>
    </x:row>
    <x:row r="26" ht="64" customHeight="1">
      <x:c r="A26" s="25" t="str">
        <x:v>Eq.2 volume from rounded diameters</x:v>
      </x:c>
      <x:c r="B26" s="27" t="n">
        <x:f>PI()/4*(2*B23*B9^2+B22*(B10^2+B11^2+B12^2+B13^2))/1000</x:f>
        <x:v>12.304833025947824</x:v>
      </x:c>
      <x:c r="C26" s="25" t="str">
        <x:v>cm^3</x:v>
      </x:c>
      <x:c r="D26" s="25" t="str">
        <x:v>Derived nominal</x:v>
      </x:c>
      <x:c r="E26" s="25" t="str">
        <x:v>p.3, Eq.2; Table 1</x:v>
      </x:c>
      <x:c r="F26" s="25" t="str">
        <x:v>Idealized cylinder sum. Do not force the CAD union volume to equal 12.4 cm^3.</x:v>
      </x:c>
      <x:c r="G26" s="25" t="str">
        <x:v>https://doi.org/10.1016/j.ijthermalsci.2025.109918</x:v>
      </x:c>
    </x:row>
    <x:row r="27" ht="64" customHeight="1">
      <x:c r="A27" s="34" t="str">
        <x:v>Junction blending / end caps</x:v>
      </x:c>
      <x:c r="B27" s="35"/>
      <x:c r="C27" s="34" t="str"/>
      <x:c r="D27" s="34" t="str">
        <x:v>Unresolved</x:v>
      </x:c>
      <x:c r="E27" s="34" t="str">
        <x:v>p.3, Fig.1</x:v>
      </x:c>
      <x:c r="F27" s="34" t="str">
        <x:v>Use documented nominal intersecting cylinders initially. Do not represent guessed fillets as published dimensions.</x:v>
      </x:c>
      <x:c r="G27" s="34" t="str">
        <x:v>https://doi.org/10.1016/j.ijthermalsci.2025.109918</x:v>
      </x:c>
    </x:row>
    <x:row r="28" ht="64" customHeight="1">
      <x:c r="A28" s="34" t="str">
        <x:v>Roughness and print tolerances</x:v>
      </x:c>
      <x:c r="B28" s="35"/>
      <x:c r="C28" s="34" t="str"/>
      <x:c r="D28" s="34" t="str">
        <x:v>Unresolved</x:v>
      </x:c>
      <x:c r="E28" s="34" t="str">
        <x:v>p.4, Sec.3.1</x:v>
      </x:c>
      <x:c r="F28" s="34" t="str">
        <x:v>As-built details are not fully specified. Separate sensitivity studies from nominal reproduction.</x:v>
      </x:c>
      <x:c r="G28" s="34" t="str">
        <x:v>https://doi.org/10.1016/j.ijthermalsci.2025.109918</x:v>
      </x:c>
    </x:row>
    <x:row r="29" ht="64" customHeight="1">
      <x:c r="A29" s="8" t="str">
        <x:v>CAD construction</x:v>
      </x:c>
      <x:c r="B29" s="26"/>
      <x:c r="C29" s="8" t="str"/>
      <x:c r="D29" s="8" t="str">
        <x:v>Implementation plan</x:v>
      </x:c>
      <x:c r="E29" s="8" t="str">
        <x:v>p.3, Fig.1</x:v>
      </x:c>
      <x:c r="F29" s="8" t="str">
        <x:v>Build a 150 x 150 x 10 solid, create the connected channel volume, subtract it from the solid and retain the fluid body.</x:v>
      </x:c>
      <x:c r="G29" s="8" t="str">
        <x:v>https://doi.org/10.1016/j.ijthermalsci.2025.109918</x:v>
      </x:c>
    </x:row>
    <x:row r="30" ht="58" customHeight="1">
      <x:c r="A30"/>
      <x:c r="B30"/>
      <x:c r="C30"/>
      <x:c r="D30"/>
      <x:c r="E30"/>
      <x:c r="F30"/>
      <x:c r="G30"/>
    </x:row>
    <x:row r="31" ht="58" customHeight="1">
      <x:c r="A31"/>
      <x:c r="B31"/>
      <x:c r="C31"/>
      <x:c r="D31"/>
      <x:c r="E31"/>
      <x:c r="F31"/>
      <x:c r="G31"/>
    </x:row>
    <x:row r="32" ht="58" customHeight="1">
      <x:c r="A32"/>
      <x:c r="B32"/>
      <x:c r="C32"/>
      <x:c r="D32"/>
      <x:c r="E32"/>
      <x:c r="F32"/>
      <x:c r="G32"/>
    </x:row>
    <x:row r="33" ht="58" customHeight="1">
      <x:c r="A33"/>
      <x:c r="B33"/>
      <x:c r="C33"/>
      <x:c r="D33"/>
      <x:c r="E33"/>
      <x:c r="F33"/>
      <x:c r="G33"/>
    </x:row>
    <x:row r="34" ht="58" customHeight="1">
      <x:c r="A34"/>
      <x:c r="B34"/>
      <x:c r="C34"/>
      <x:c r="D34"/>
      <x:c r="E34"/>
      <x:c r="F34"/>
      <x:c r="G34"/>
    </x:row>
    <x:row r="35" ht="58" customHeight="1">
      <x:c r="A35"/>
      <x:c r="B35"/>
      <x:c r="C35"/>
      <x:c r="D35"/>
      <x:c r="E35"/>
      <x:c r="F35"/>
      <x:c r="G35"/>
    </x:row>
    <x:row r="36" ht="58" customHeight="1">
      <x:c r="A36"/>
      <x:c r="B36"/>
      <x:c r="C36"/>
      <x:c r="D36"/>
      <x:c r="E36"/>
      <x:c r="F36"/>
      <x:c r="G36"/>
    </x:row>
  </x:sheetData>
  <x:conditionalFormatting sqref="D5:D36">
    <x:cfRule type="containsText" dxfId="2" priority="1" operator="containsText" text="Not "/>
    <x:cfRule type="containsText" dxfId="3" priority="2" operator="containsText" text="clarification"/>
    <x:cfRule type="containsText" dxfId="4" priority="3" operator="containsText" text="Ambiguous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7" hidden="0" customWidth="1"/>
    <x:col min="2" max="2" width="20" hidden="0" customWidth="1"/>
    <x:col min="3" max="3" width="20" hidden="0" customWidth="1"/>
    <x:col min="4" max="4" width="19" hidden="0" customWidth="1"/>
    <x:col min="5" max="5" width="19" hidden="0" customWidth="1"/>
    <x:col min="6" max="6" width="22" hidden="0" customWidth="1"/>
    <x:col min="7" max="7" width="22" hidden="0" customWidth="1"/>
    <x:col min="8" max="8" width="76" hidden="0" customWidth="1"/>
    <x:col min="9" max="9" width="53" hidden="0" customWidth="1"/>
  </x:cols>
  <x:sheetData>
    <x:row r="1" ht="28" customHeight="1">
      <x:c r="A1" s="2" t="str">
        <x:v>Thermal cases and numerical reference</x:v>
      </x:c>
      <x:c r="B1" s="1"/>
      <x:c r="C1" s="1"/>
      <x:c r="D1" s="1"/>
      <x:c r="E1" s="1"/>
      <x:c r="F1" s="1"/>
      <x:c r="G1" s="1"/>
      <x:c r="H1" s="1"/>
      <x:c r="I1" s="1"/>
    </x:row>
    <x:row r="2" ht="24" customHeight="1">
      <x:c r="A2" s="3" t="str">
        <x:v>Prescribe Table 5 mass flows and 200 W. Pumping-power labels identify experimental cases.</x:v>
      </x:c>
      <x:c r="B2" s="1"/>
      <x:c r="C2" s="1"/>
      <x:c r="D2" s="1"/>
      <x:c r="E2" s="1"/>
      <x:c r="F2" s="1"/>
      <x:c r="G2" s="1"/>
      <x:c r="H2" s="1"/>
      <x:c r="I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</x:row>
    <x:row r="4" ht="34" customHeight="1">
      <x:c r="A4" s="24" t="str">
        <x:v>Case / metric</x:v>
      </x:c>
      <x:c r="B4" s="24" t="str">
        <x:v>Mass flow (kg/h)</x:v>
      </x:c>
      <x:c r="C4" s="24" t="str">
        <x:v>Mass flow (kg/s)</x:v>
      </x:c>
      <x:c r="D4" s="24" t="str">
        <x:v>Pump label (mW)</x:v>
      </x:c>
      <x:c r="E4" s="24" t="str">
        <x:v>Heat input (W)</x:v>
      </x:c>
      <x:c r="F4" s="24" t="str">
        <x:v>Heat flux (W/m^2)</x:v>
      </x:c>
      <x:c r="G4" s="24" t="str">
        <x:v>Exp. fit ΔP (Pa)</x:v>
      </x:c>
      <x:c r="H4" s="24" t="str">
        <x:v>Evidence / interpretation</x:v>
      </x:c>
      <x:c r="I4" s="24" t="str">
        <x:v>Source URL</x:v>
      </x:c>
    </x:row>
    <x:row r="5" ht="64" customHeight="1">
      <x:c r="A5" s="8" t="str">
        <x:v>T1</x:v>
      </x:c>
      <x:c r="B5" s="8" t="n">
        <x:v>14.4</x:v>
      </x:c>
      <x:c r="C5" s="30" t="n">
        <x:f>B5/3600</x:f>
        <x:v>0.004</x:v>
      </x:c>
      <x:c r="D5" s="8" t="n">
        <x:v>0.25</x:v>
      </x:c>
      <x:c r="E5" s="8" t="n">
        <x:f>'Benchmark Inputs'!$B$14</x:f>
        <x:v>200</x:v>
      </x:c>
      <x:c r="F5" s="14" t="n">
        <x:f>'Benchmark Inputs'!$B$16</x:f>
        <x:v>8888.888888888889</x:v>
      </x:c>
      <x:c r="G5" s="14" t="n">
        <x:f>'Benchmark Inputs'!$B$28*C5^2+'Benchmark Inputs'!$B$29*C5</x:f>
        <x:v>63.199999999999996</x:v>
      </x:c>
      <x:c r="H5" s="8" t="str">
        <x:v>Table 5, four branches. Fit pressure is a calculated experimental trend, not raw data.</x:v>
      </x:c>
      <x:c r="I5" s="8" t="str">
        <x:v>https://doi.org/10.1016/j.ijthermalsci.2025.109918</x:v>
      </x:c>
    </x:row>
    <x:row r="6" ht="64" customHeight="1">
      <x:c r="A6" s="25" t="str">
        <x:v>T2</x:v>
      </x:c>
      <x:c r="B6" s="25" t="n">
        <x:v>22.3</x:v>
      </x:c>
      <x:c r="C6" s="31" t="n">
        <x:f>B6/3600</x:f>
        <x:v>0.006194444444444444</x:v>
      </x:c>
      <x:c r="D6" s="25" t="n">
        <x:v>0.75</x:v>
      </x:c>
      <x:c r="E6" s="25" t="n">
        <x:f>'Benchmark Inputs'!$B$14</x:f>
        <x:v>200</x:v>
      </x:c>
      <x:c r="F6" s="32" t="n">
        <x:f>'Benchmark Inputs'!$B$16</x:f>
        <x:v>8888.888888888889</x:v>
      </x:c>
      <x:c r="G6" s="32" t="n">
        <x:f>'Benchmark Inputs'!$B$28*C6^2+'Benchmark Inputs'!$B$29*C6</x:f>
        <x:v>122.34027777777777</x:v>
      </x:c>
      <x:c r="H6" s="25" t="str">
        <x:v>Table 5, four branches. Main starting case for comparison with Table 2.</x:v>
      </x:c>
      <x:c r="I6" s="25" t="str">
        <x:v>https://doi.org/10.1016/j.ijthermalsci.2025.109918</x:v>
      </x:c>
    </x:row>
    <x:row r="7" ht="64" customHeight="1">
      <x:c r="A7" s="8" t="str">
        <x:v>T3</x:v>
      </x:c>
      <x:c r="B7" s="8" t="n">
        <x:v>27.2</x:v>
      </x:c>
      <x:c r="C7" s="30" t="n">
        <x:f>B7/3600</x:f>
        <x:v>0.007555555555555555</x:v>
      </x:c>
      <x:c r="D7" s="8" t="n">
        <x:v>1.25</x:v>
      </x:c>
      <x:c r="E7" s="8" t="n">
        <x:f>'Benchmark Inputs'!$B$14</x:f>
        <x:v>200</x:v>
      </x:c>
      <x:c r="F7" s="14" t="n">
        <x:f>'Benchmark Inputs'!$B$16</x:f>
        <x:v>8888.888888888889</x:v>
      </x:c>
      <x:c r="G7" s="14" t="n">
        <x:f>'Benchmark Inputs'!$B$28*C7^2+'Benchmark Inputs'!$B$29*C7</x:f>
        <x:v>167.7333333333333</x:v>
      </x:c>
      <x:c r="H7" s="8" t="str">
        <x:v>Table 5, four branches. Do not impose both mass flow and pumping power.</x:v>
      </x:c>
      <x:c r="I7" s="8" t="str">
        <x:v>https://doi.org/10.1016/j.ijthermalsci.2025.109918</x:v>
      </x:c>
    </x:row>
    <x:row r="8" ht="64" customHeight="1">
      <x:c r="A8" s="25" t="str">
        <x:v>Pressure comparison</x:v>
      </x:c>
      <x:c r="B8" s="25"/>
      <x:c r="C8" s="25"/>
      <x:c r="D8" s="25"/>
      <x:c r="E8" s="25"/>
      <x:c r="F8" s="25"/>
      <x:c r="G8" s="25"/>
      <x:c r="H8" s="25" t="str">
        <x:v>Eq.14 / Table 4 fit includes setup effects. Intrinsic simulated plate pressure is lower (Sec.4.2).</x:v>
      </x:c>
      <x:c r="I8" s="25" t="str">
        <x:v>https://doi.org/10.1016/j.ijthermalsci.2025.109918</x:v>
      </x:c>
    </x:row>
    <x:row r="9" ht="64" customHeight="1">
      <x:c r="A9" s="8" t="str">
        <x:v>Numerical reference</x:v>
      </x:c>
      <x:c r="B9" s="8"/>
      <x:c r="C9" s="8"/>
      <x:c r="D9" s="8"/>
      <x:c r="E9" s="8"/>
      <x:c r="F9" s="8"/>
      <x:c r="G9" s="8"/>
      <x:c r="H9" s="8" t="str">
        <x:v>Table 2: four branches, 22.3 kg/h. Values below are COMSOL results, not experimental observations.</x:v>
      </x:c>
      <x:c r="I9" s="8" t="str">
        <x:v>https://doi.org/10.1016/j.ijthermalsci.2025.109918</x:v>
      </x:c>
    </x:row>
    <x:row r="10" ht="64" customHeight="1">
      <x:c r="A10" s="25" t="str">
        <x:v>Metric</x:v>
      </x:c>
      <x:c r="B10" s="25" t="str">
        <x:v>Mesh 5</x:v>
      </x:c>
      <x:c r="C10" s="25" t="str">
        <x:v>Mesh 6</x:v>
      </x:c>
      <x:c r="D10" s="25" t="str">
        <x:v>Unit</x:v>
      </x:c>
      <x:c r="E10" s="25"/>
      <x:c r="F10" s="25"/>
      <x:c r="G10" s="25"/>
      <x:c r="H10" s="25" t="str">
        <x:v>Compare Fluent at matching flow, power, BCs and surface definitions.</x:v>
      </x:c>
      <x:c r="I10" s="25" t="str">
        <x:v>https://doi.org/10.1016/j.ijthermalsci.2025.109918</x:v>
      </x:c>
    </x:row>
    <x:row r="11" ht="64" customHeight="1">
      <x:c r="A11" s="8" t="str">
        <x:v>Mesh elements</x:v>
      </x:c>
      <x:c r="B11" s="33" t="n">
        <x:v>3520000</x:v>
      </x:c>
      <x:c r="C11" s="33" t="n">
        <x:v>4590000</x:v>
      </x:c>
      <x:c r="D11" s="8" t="str">
        <x:v>count</x:v>
      </x:c>
      <x:c r="E11" s="8"/>
      <x:c r="F11" s="8"/>
      <x:c r="G11" s="8"/>
      <x:c r="H11" s="8" t="str">
        <x:v>Mesh density reference only. Establish independent mesh convergence in Fluent.</x:v>
      </x:c>
      <x:c r="I11" s="8" t="str">
        <x:v>https://doi.org/10.1016/j.ijthermalsci.2025.109918</x:v>
      </x:c>
    </x:row>
    <x:row r="12" ht="64" customHeight="1">
      <x:c r="A12" s="25" t="str">
        <x:v>Pressure drop</x:v>
      </x:c>
      <x:c r="B12" s="25" t="n">
        <x:v>81.3</x:v>
      </x:c>
      <x:c r="C12" s="25" t="n">
        <x:v>81.5</x:v>
      </x:c>
      <x:c r="D12" s="25" t="str">
        <x:v>Pa</x:v>
      </x:c>
      <x:c r="E12" s="25"/>
      <x:c r="F12" s="25"/>
      <x:c r="G12" s="25"/>
      <x:c r="H12" s="25" t="str">
        <x:v>Table 2 numerical pressure drop. Keep separate from the experimental fit above.</x:v>
      </x:c>
      <x:c r="I12" s="25" t="str">
        <x:v>https://doi.org/10.1016/j.ijthermalsci.2025.109918</x:v>
      </x:c>
    </x:row>
    <x:row r="13" ht="64" customHeight="1">
      <x:c r="A13" s="8" t="str">
        <x:v>Outlet temperature</x:v>
      </x:c>
      <x:c r="B13" s="8" t="n">
        <x:v>31.2</x:v>
      </x:c>
      <x:c r="C13" s="8" t="n">
        <x:v>31.3</x:v>
      </x:c>
      <x:c r="D13" s="8" t="str">
        <x:v>degC</x:v>
      </x:c>
      <x:c r="E13" s="8"/>
      <x:c r="F13" s="8"/>
      <x:c r="G13" s="8"/>
      <x:c r="H13" s="8" t="str">
        <x:v>Table 2 numerical outlet temperature. Confirm the averaging definition before comparison.</x:v>
      </x:c>
      <x:c r="I13" s="8" t="str">
        <x:v>https://doi.org/10.1016/j.ijthermalsci.2025.109918</x:v>
      </x:c>
    </x:row>
    <x:row r="14" ht="64" customHeight="1">
      <x:c r="A14" s="25" t="str">
        <x:v>Upper-surface mean temperature</x:v>
      </x:c>
      <x:c r="B14" s="25" t="n">
        <x:v>37.7</x:v>
      </x:c>
      <x:c r="C14" s="25" t="n">
        <x:v>37.8</x:v>
      </x:c>
      <x:c r="D14" s="25" t="str">
        <x:v>degC</x:v>
      </x:c>
      <x:c r="E14" s="25"/>
      <x:c r="F14" s="25"/>
      <x:c r="G14" s="25"/>
      <x:c r="H14" s="25" t="str">
        <x:v>Table 2 numerical reference. Report mean over the upper surface.</x:v>
      </x:c>
      <x:c r="I14" s="25" t="str">
        <x:v>https://doi.org/10.1016/j.ijthermalsci.2025.109918</x:v>
      </x:c>
    </x:row>
    <x:row r="15" ht="64" customHeight="1">
      <x:c r="A15" s="8" t="str">
        <x:v>Upper-surface maximum temperature</x:v>
      </x:c>
      <x:c r="B15" s="8" t="n">
        <x:v>42.9</x:v>
      </x:c>
      <x:c r="C15" s="8" t="n">
        <x:v>42.8</x:v>
      </x:c>
      <x:c r="D15" s="8" t="str">
        <x:v>degC</x:v>
      </x:c>
      <x:c r="E15" s="8"/>
      <x:c r="F15" s="8"/>
      <x:c r="G15" s="8"/>
      <x:c r="H15" s="8" t="str">
        <x:v>Table 2 numerical reference. Do not substitute whole-solid maximum.</x:v>
      </x:c>
      <x:c r="I15" s="8" t="str">
        <x:v>https://doi.org/10.1016/j.ijthermalsci.2025.109918</x:v>
      </x:c>
    </x:row>
    <x:row r="16" ht="64" customHeight="1">
      <x:c r="A16" s="25" t="str">
        <x:v>Experimental thermal data</x:v>
      </x:c>
      <x:c r="B16" s="25"/>
      <x:c r="C16" s="25"/>
      <x:c r="D16" s="25"/>
      <x:c r="E16" s="25"/>
      <x:c r="F16" s="25"/>
      <x:c r="G16" s="25"/>
      <x:c r="H16" s="25" t="str">
        <x:v>Digitize the relevant four-branch curves in Figs.7–9 or request raw data. Not yet entered.</x:v>
      </x:c>
      <x:c r="I16" s="25" t="str">
        <x:v>https://doi.org/10.1016/j.ijthermalsci.2025.109918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2" hidden="0" customWidth="1"/>
    <x:col min="2" max="2" width="66" hidden="0" customWidth="1"/>
    <x:col min="3" max="3" width="31" hidden="0" customWidth="1"/>
    <x:col min="4" max="4" width="85" hidden="0" customWidth="1"/>
    <x:col min="5" max="5" width="53" hidden="0" customWidth="1"/>
  </x:cols>
  <x:sheetData>
    <x:row r="1" ht="28" customHeight="1">
      <x:c r="A1" s="2" t="str">
        <x:v>Remaining details and comparison limits</x:v>
      </x:c>
      <x:c r="B1" s="1"/>
      <x:c r="C1" s="1"/>
      <x:c r="D1" s="1"/>
      <x:c r="E1" s="1"/>
    </x:row>
    <x:row r="2" ht="24" customHeight="1">
      <x:c r="A2" s="3" t="str">
        <x:v>Resolve these items before claiming experimental validation. Nominal CAD construction can begin.</x:v>
      </x:c>
      <x:c r="B2" s="1"/>
      <x:c r="C2" s="1"/>
      <x:c r="D2" s="1"/>
      <x:c r="E2" s="1"/>
    </x:row>
    <x:row r="3">
      <x:c r="A3" s="1"/>
      <x:c r="B3" s="1"/>
      <x:c r="C3" s="1"/>
      <x:c r="D3" s="1"/>
      <x:c r="E3" s="1"/>
    </x:row>
    <x:row r="4" ht="34" customHeight="1">
      <x:c r="A4" s="24" t="str">
        <x:v>Topic</x:v>
      </x:c>
      <x:c r="B4" s="24" t="str">
        <x:v>Missing detail / finding</x:v>
      </x:c>
      <x:c r="C4" s="24" t="str">
        <x:v>Source location</x:v>
      </x:c>
      <x:c r="D4" s="24" t="str">
        <x:v>Next action / interpretation</x:v>
      </x:c>
      <x:c r="E4" s="24" t="str">
        <x:v>Source URL</x:v>
      </x:c>
    </x:row>
    <x:row r="5" ht="82" customHeight="1">
      <x:c r="A5" s="8" t="str">
        <x:v>Water properties</x:v>
      </x:c>
      <x:c r="B5" s="8" t="str">
        <x:v>Exact property values and temperature dependence are not tabulated.</x:v>
      </x:c>
      <x:c r="C5" s="8" t="str">
        <x:v>p.5, Sec.3.2</x:v>
      </x:c>
      <x:c r="D5" s="8" t="str">
        <x:v>Choose a documented authoritative water-property model. Fill density, viscosity, cp and conductivity before setting Reynolds number or solving.</x:v>
      </x:c>
      <x:c r="E5" s="8" t="str">
        <x:v>https://doi.org/10.1016/j.ijthermalsci.2025.109918</x:v>
      </x:c>
    </x:row>
    <x:row r="6" ht="82" customHeight="1">
      <x:c r="A6" s="25" t="str">
        <x:v>Top natural convection</x:v>
      </x:c>
      <x:c r="B6" s="25" t="str">
        <x:v>Upper surface uses a piecewise Kitamura correlation. Air properties and reference temperature need implementation.</x:v>
      </x:c>
      <x:c r="C6" s="25" t="str">
        <x:v>p.5, Eq.11</x:v>
      </x:c>
      <x:c r="D6" s="25" t="str">
        <x:v>Use the paper’s width-based Rayleigh number and stated validity ranges. Implement temperature-dependent h or iterate a documented effective value.</x:v>
      </x:c>
      <x:c r="E6" s="25" t="str">
        <x:v>https://doi.org/10.1016/j.ijthermalsci.2025.109918</x:v>
      </x:c>
    </x:row>
    <x:row r="7" ht="82" customHeight="1">
      <x:c r="A7" s="8" t="str">
        <x:v>Ambient choice</x:v>
      </x:c>
      <x:c r="B7" s="8" t="str">
        <x:v>Room setpoint 24 degC; measured average 24.1 degC.</x:v>
      </x:c>
      <x:c r="C7" s="8" t="str">
        <x:v>p.4, Sec.3.1; p.9</x:v>
      </x:c>
      <x:c r="D7" s="8" t="str">
        <x:v>Record the value used. Check whether this small difference matters to the thermal comparison.</x:v>
      </x:c>
      <x:c r="E7" s="8" t="str">
        <x:v>https://doi.org/10.1016/j.ijthermalsci.2025.109918</x:v>
      </x:c>
    </x:row>
    <x:row r="8" ht="82" customHeight="1">
      <x:c r="A8" s="25" t="str">
        <x:v>Nominal CAD details</x:v>
      </x:c>
      <x:c r="B8" s="25" t="str">
        <x:v>Junction blending, termination shape and as-built tolerances are incomplete.</x:v>
      </x:c>
      <x:c r="C8" s="25" t="str">
        <x:v>p.3, Fig.1; p.4, Sec.3.1</x:v>
      </x:c>
      <x:c r="D8" s="25" t="str">
        <x:v>Start with the dimensioned nominal network. Document end caps and intersections; assess sensitivity or request CAD for an exact replica.</x:v>
      </x:c>
      <x:c r="E8" s="25" t="str">
        <x:v>https://doi.org/10.1016/j.ijthermalsci.2025.109918</x:v>
      </x:c>
    </x:row>
    <x:row r="9" ht="82" customHeight="1">
      <x:c r="A9" s="8" t="str">
        <x:v>Inlet profile</x:v>
      </x:c>
      <x:c r="B9" s="8" t="str">
        <x:v>Fully developed flow is specified.</x:v>
      </x:c>
      <x:c r="C9" s="8" t="str">
        <x:v>p.5, Sec.3.2</x:v>
      </x:c>
      <x:c r="D9" s="8" t="str">
        <x:v>Use a normalized parabolic inlet velocity profile at the prescribed mass flow, or a verified development section. Keep pressure report planes consistent.</x:v>
      </x:c>
      <x:c r="E9" s="8" t="str">
        <x:v>https://doi.org/10.1016/j.ijthermalsci.2025.109918</x:v>
      </x:c>
    </x:row>
    <x:row r="10" ht="82" customHeight="1">
      <x:c r="A10" s="25" t="str">
        <x:v>Pressure measurement planes</x:v>
      </x:c>
      <x:c r="B10" s="25" t="str">
        <x:v>Experiments include connector / tap effects that the intrinsic model does not reproduce.</x:v>
      </x:c>
      <x:c r="C10" s="25" t="str">
        <x:v>p.8, Sec.4.2</x:v>
      </x:c>
      <x:c r="D10" s="25" t="str">
        <x:v>Compare intrinsic CFD with Table 2 first. Quantitative experimental pressure validation requires matching the test-domain pressure planes.</x:v>
      </x:c>
      <x:c r="E10" s="25" t="str">
        <x:v>https://doi.org/10.1016/j.ijthermalsci.2025.109918</x:v>
      </x:c>
    </x:row>
    <x:row r="11" ht="82" customHeight="1">
      <x:c r="A11" s="8" t="str">
        <x:v>Raw experimental data</x:v>
      </x:c>
      <x:c r="B11" s="8" t="str">
        <x:v>Thermal curves and seven hydraulic test points are not fully tabulated.</x:v>
      </x:c>
      <x:c r="C11" s="8" t="str">
        <x:v>Figs.5,7–9; p.15 data statement</x:v>
      </x:c>
      <x:c r="D11" s="8" t="str">
        <x:v>Digitize selected curves with extraction uncertainty or request raw data. Do not label fit-generated values as measurements.</x:v>
      </x:c>
      <x:c r="E11" s="8" t="str">
        <x:v>https://doi.org/10.1016/j.ijthermalsci.2025.109918</x:v>
      </x:c>
    </x:row>
    <x:row r="12" ht="82" customHeight="1">
      <x:c r="A12" s="25" t="str">
        <x:v>Numerical convergence</x:v>
      </x:c>
      <x:c r="B12" s="25" t="str">
        <x:v>COMSOL element counts do not prescribe a Fluent mesh.</x:v>
      </x:c>
      <x:c r="C12" s="25" t="str">
        <x:v>p.6, Table 2</x:v>
      </x:c>
      <x:c r="D12" s="25" t="str">
        <x:v>Run at least three systematically refined meshes and check pressure drop, mean/max upper temperature, outlet temperature and conservation.</x:v>
      </x:c>
      <x:c r="E12" s="25" t="str">
        <x:v>https://doi.org/10.1016/j.ijthermalsci.2025.109918</x:v>
      </x:c>
    </x:row>
    <x:row r="13" ht="82" customHeight="1">
      <x:c r="A13" s="8" t="str">
        <x:v>Thermal output definitions</x:v>
      </x:c>
      <x:c r="B13" s="8" t="str">
        <x:v>Outlet temperature averaging must match the reference.</x:v>
      </x:c>
      <x:c r="C13" s="8" t="str">
        <x:v>p.6, Table 2</x:v>
      </x:c>
      <x:c r="D13" s="8" t="str">
        <x:v>Record area- and mass-flow-weighted outlet temperatures until the definition is resolved. Use upper-surface mean and maximum for plate metrics.</x:v>
      </x:c>
      <x:c r="E13" s="8" t="str">
        <x:v>https://doi.org/10.1016/j.ijthermalsci.2025.109918</x:v>
      </x:c>
    </x:row>
    <x:row r="14" ht="82" customHeight="1">
      <x:c r="A14" s="25" t="str">
        <x:v>Heat loss and radiation</x:v>
      </x:c>
      <x:c r="B14" s="25" t="str">
        <x:v>The stated model includes top natural convection and insulated sides.</x:v>
      </x:c>
      <x:c r="C14" s="25" t="str">
        <x:v>p.5, Sec.3.2; p.9</x:v>
      </x:c>
      <x:c r="D14" s="25" t="str">
        <x:v>Reproduce stated BCs first. Do not invent contact resistance or radiation parameters to force agreement.</x:v>
      </x:c>
      <x:c r="E14" s="25" t="str">
        <x:v>https://doi.org/10.1016/j.ijthermalsci.2025.109918</x:v>
      </x:c>
    </x:row>
    <x:row r="15" ht="82" customHeight="1">
      <x:c r="A15" s="8" t="str">
        <x:v>Scope of benchmark</x:v>
      </x:c>
      <x:c r="B15" s="8" t="str">
        <x:v>200 W over 150 x 150 mm is about 0.889 W/cm^2.</x:v>
      </x:c>
      <x:c r="C15" s="8" t="str">
        <x:v>pp.3–5</x:v>
      </x:c>
      <x:c r="D15" s="8" t="str">
        <x:v>This checks the CHT methodology at modest heat flux. A high-heat-flux compute cold plate is a separate later design study.</x:v>
      </x:c>
      <x:c r="E15" s="8" t="str">
        <x:v>https://doi.org/10.1016/j.ijthermalsci.2025.109918</x:v>
      </x:c>
    </x:row>
    <x:row r="16" ht="72" customHeight="1">
      <x:c r="A16"/>
      <x:c r="B16"/>
      <x:c r="C16"/>
      <x:c r="D16"/>
      <x:c r="E16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</x:cols>
  <x:sheetData>
    <x:row r="1">
      <x:c r="A1" s="37" t="str">
        <x:v>Heated-pipe numerical verification</x:v>
      </x:c>
      <x:c r="B1" s="36"/>
      <x:c r="C1" s="36"/>
      <x:c r="D1" s="36"/>
      <x:c r="E1" s="36"/>
      <x:c r="F1" s="36"/>
      <x:c r="G1" s="36"/>
      <x:c r="H1" s="36"/>
      <x:c r="I1" s="36"/>
      <x:c r="J1" s="36"/>
    </x:row>
    <x:row r="2" ht="36" customHeight="1">
      <x:c r="A2" s="46" t="str">
        <x:v>Water, 23 °C inlet; radius 3 mm; length 100 mm; nominal mean velocity 0.1 m/s; wall heat flux 5,000 W/m².</x:v>
      </x:c>
      <x:c r="B2" s="45"/>
      <x:c r="C2" s="45"/>
      <x:c r="D2" s="45"/>
      <x:c r="E2" s="45"/>
      <x:c r="F2" s="45"/>
      <x:c r="G2" s="45"/>
      <x:c r="H2" s="45"/>
      <x:c r="I2" s="45"/>
      <x:c r="J2" s="45"/>
    </x:row>
    <x:row r="3">
      <x:c r="A3" s="36"/>
      <x:c r="B3" s="36"/>
      <x:c r="C3" s="36"/>
      <x:c r="D3" s="36"/>
      <x:c r="E3" s="36"/>
      <x:c r="F3" s="36"/>
      <x:c r="G3" s="36"/>
      <x:c r="H3" s="36"/>
      <x:c r="I3" s="36"/>
      <x:c r="J3" s="36"/>
    </x:row>
    <x:row r="4" ht="46" customHeight="1">
      <x:c r="A4" s="40" t="str">
        <x:v>Mesh</x:v>
      </x:c>
      <x:c r="B4" s="40" t="str">
        <x:v>Cells</x:v>
      </x:c>
      <x:c r="C4" s="40" t="str">
        <x:v>Actual mean U (m/s)</x:v>
      </x:c>
      <x:c r="D4" s="40" t="str">
        <x:v>Analytical Δp (Pa)</x:v>
      </x:c>
      <x:c r="E4" s="40" t="str">
        <x:v>CFD Δp (Pa)</x:v>
      </x:c>
      <x:c r="F4" s="40" t="str">
        <x:v>Pressure error (%)</x:v>
      </x:c>
      <x:c r="G4" s="40" t="str">
        <x:v>Analytical bulk rise (K)</x:v>
      </x:c>
      <x:c r="H4" s="40" t="str">
        <x:v>CFD bulk rise (K)</x:v>
      </x:c>
      <x:c r="I4" s="40" t="str">
        <x:v>Bulk-rise error (%)</x:v>
      </x:c>
      <x:c r="J4" s="40" t="str">
        <x:v>Heat imbalance (%)</x:v>
      </x:c>
    </x:row>
    <x:row r="5" ht="24" customHeight="1">
      <x:c r="A5" s="36" t="str">
        <x:v>coarse</x:v>
      </x:c>
      <x:c r="B5" s="42" t="n">
        <x:v>2000</x:v>
      </x:c>
      <x:c r="C5" s="43" t="n">
        <x:v>0.10012500000000003</x:v>
      </x:c>
      <x:c r="D5" s="43" t="n">
        <x:v>4.977551676528937</x:v>
      </x:c>
      <x:c r="E5" s="43" t="n">
        <x:v>4.962048543690235</x:v>
      </x:c>
      <x:c r="F5" s="43" t="n">
        <x:f>100*(E5/D5-1)</x:f>
        <x:v>-0.3114610122845085</x:v>
      </x:c>
      <x:c r="G5" s="43" t="n">
        <x:v>0.7979880558283001</x:v>
      </x:c>
      <x:c r="H5" s="43" t="n">
        <x:v>0.7978313785165483</x:v>
      </x:c>
      <x:c r="I5" s="43" t="n">
        <x:f>100*(H5/G5-1)</x:f>
        <x:v>-0.019634042214977665</x:v>
      </x:c>
      <x:c r="J5" s="43" t="n">
        <x:v>0.0004622646176490638</x:v>
      </x:c>
    </x:row>
    <x:row r="6" ht="24" customHeight="1">
      <x:c r="A6" s="36" t="str">
        <x:v>medium</x:v>
      </x:c>
      <x:c r="B6" s="42" t="n">
        <x:v>8000</x:v>
      </x:c>
      <x:c r="C6" s="43" t="n">
        <x:v>0.10003125</x:v>
      </x:c>
      <x:c r="D6" s="43" t="n">
        <x:v>4.972891047618328</x:v>
      </x:c>
      <x:c r="E6" s="43" t="n">
        <x:v>4.96892562401644</x:v>
      </x:c>
      <x:c r="F6" s="43" t="n">
        <x:f>100*(E6/D6-1)</x:f>
        <x:v>-0.07974081000200473</x:v>
      </x:c>
      <x:c r="G6" s="43" t="n">
        <x:v>0.7987359359181113</x:v>
      </x:c>
      <x:c r="H6" s="43" t="n">
        <x:v>0.7985124999263462</x:v>
      </x:c>
      <x:c r="I6" s="43" t="n">
        <x:f>100*(H6/G6-1)</x:f>
        <x:v>-0.02797369965685803</x:v>
      </x:c>
      <x:c r="J6" s="43" t="n">
        <x:v>0.0010228466462164373</x:v>
      </x:c>
    </x:row>
    <x:row r="7" ht="24" customHeight="1">
      <x:c r="A7" s="36" t="str">
        <x:v>fine</x:v>
      </x:c>
      <x:c r="B7" s="42" t="n">
        <x:v>32000</x:v>
      </x:c>
      <x:c r="C7" s="43" t="n">
        <x:v>0.10000781250000006</x:v>
      </x:c>
      <x:c r="D7" s="43" t="n">
        <x:v>4.971725890390679</x:v>
      </x:c>
      <x:c r="E7" s="43" t="n">
        <x:v>4.970739008193208</x:v>
      </x:c>
      <x:c r="F7" s="43" t="n">
        <x:f>100*(E7/D7-1)</x:f>
        <x:v>-0.019849891551304566</x:v>
      </x:c>
      <x:c r="G7" s="43" t="n">
        <x:v>0.7989231250289424</x:v>
      </x:c>
      <x:c r="H7" s="43" t="n">
        <x:v>0.7986449068997103</x:v>
      </x:c>
      <x:c r="I7" s="43" t="n">
        <x:f>100*(H7/G7-1)</x:f>
        <x:v>-0.03482414271359646</x:v>
      </x:c>
      <x:c r="J7" s="43" t="n">
        <x:v>0.0009683803066277161</x:v>
      </x:c>
    </x:row>
    <x:row r="8">
      <x:c r="A8" s="36"/>
      <x:c r="B8" s="36"/>
      <x:c r="C8" s="36"/>
      <x:c r="D8" s="36"/>
      <x:c r="E8" s="36"/>
      <x:c r="F8" s="36"/>
      <x:c r="G8" s="36"/>
      <x:c r="H8" s="36"/>
      <x:c r="I8" s="36"/>
      <x:c r="J8" s="36"/>
    </x:row>
    <x:row r="9" ht="36" customHeight="1">
      <x:c r="A9" s="45" t="str">
        <x:v>Pressure comparison uses the integrated flow on each mesh. Temperature error is nonmonotonic; no thermal convergence order is claimed.</x:v>
      </x:c>
      <x:c r="B9" s="45"/>
      <x:c r="C9" s="45"/>
      <x:c r="D9" s="45"/>
      <x:c r="E9" s="45"/>
      <x:c r="F9" s="45"/>
      <x:c r="G9" s="45"/>
      <x:c r="H9" s="45"/>
      <x:c r="I9" s="45"/>
      <x:c r="J9" s="45"/>
    </x:row>
    <x:row r="10" ht="36" customHeight="1">
      <x:c r="A10" s="45" t="str">
        <x:v>This case checks elementary laminar flow and bulk energy. It does not experimentally validate the cold plate.</x:v>
      </x:c>
      <x:c r="B10" s="45"/>
      <x:c r="C10" s="45"/>
      <x:c r="D10" s="45"/>
      <x:c r="E10" s="45"/>
      <x:c r="F10" s="45"/>
      <x:c r="G10" s="45"/>
      <x:c r="H10" s="45"/>
      <x:c r="I10" s="45"/>
      <x:c r="J10" s="45"/>
    </x:row>
    <x:row r="11">
      <x:c r="A11" s="36"/>
      <x:c r="B11" s="36"/>
      <x:c r="C11" s="36"/>
      <x:c r="D11" s="36"/>
      <x:c r="E11" s="36"/>
      <x:c r="F11" s="36"/>
      <x:c r="G11" s="36"/>
      <x:c r="H11" s="36"/>
      <x:c r="I11" s="36"/>
      <x:c r="J11" s="36"/>
    </x:row>
    <x:row r="12">
      <x:c r="A12" s="36" t="str">
        <x:v>Methodological reference</x:v>
      </x:c>
      <x:c r="B12" s="36" t="str">
        <x:v>https://ansyshelp.ansys.com/public/Views/Secured/corp/v242/en/fbu_vm/Hlp_VMFL002.html</x:v>
      </x:c>
      <x:c r="C12" s="36"/>
      <x:c r="D12" s="36"/>
      <x:c r="E12" s="36"/>
      <x:c r="F12" s="36"/>
      <x:c r="G12" s="36"/>
      <x:c r="H12" s="36"/>
      <x:c r="I12" s="36"/>
      <x:c r="J12" s="36"/>
    </x:row>
  </x:sheetData>
  <x:mergeCells>
    <x:mergeCell ref="A2:J2"/>
    <x:mergeCell ref="A9:J9"/>
    <x:mergeCell ref="A10:J10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9" hidden="0" customWidth="1"/>
    <x:col min="3" max="3" width="19" hidden="0" customWidth="1"/>
    <x:col min="4" max="4" width="48" hidden="0" customWidth="1"/>
    <x:col min="5" max="5" width="19" hidden="0" customWidth="1"/>
    <x:col min="6" max="6" width="27" hidden="0" customWidth="1"/>
    <x:col min="7" max="7" width="19" hidden="0" customWidth="1"/>
    <x:col min="8" max="8" width="19" hidden="0" customWidth="1"/>
  </x:cols>
  <x:sheetData>
    <x:row r="1">
      <x:c r="A1" s="37" t="str">
        <x:v>Controlled manifold study</x:v>
      </x:c>
      <x:c r="B1" s="36"/>
      <x:c r="C1" s="36"/>
      <x:c r="D1" s="36"/>
      <x:c r="E1" s="36"/>
      <x:c r="F1" s="36"/>
    </x:row>
    <x:row r="2" ht="36" customHeight="1">
      <x:c r="A2" s="46" t="str">
        <x:v>200 W bottom load; inlet 23 °C. Completed, converged results are listed below. Missing variant results remain pending.</x:v>
      </x:c>
      <x:c r="B2" s="45"/>
      <x:c r="C2" s="45"/>
      <x:c r="D2" s="45"/>
      <x:c r="E2" s="45"/>
      <x:c r="F2" s="45"/>
    </x:row>
    <x:row r="3">
      <x:c r="A3" s="36"/>
      <x:c r="B3" s="36"/>
      <x:c r="C3" s="36"/>
      <x:c r="D3" s="36"/>
      <x:c r="E3" s="36"/>
      <x:c r="F3" s="36"/>
    </x:row>
    <x:row r="4" ht="46" customHeight="1">
      <x:c r="A4" s="40" t="str">
        <x:v>Geometry</x:v>
      </x:c>
      <x:c r="B4" s="40" t="str">
        <x:v>Inlet trunk (mm)</x:v>
      </x:c>
      <x:c r="C4" s="40" t="str">
        <x:v>Outlet trunk (mm)</x:v>
      </x:c>
      <x:c r="D4" s="40" t="str">
        <x:v>External ports (mm)</x:v>
      </x:c>
      <x:c r="E4" s="40" t="str">
        <x:v>Minimum cover (mm)</x:v>
      </x:c>
      <x:c r="F4" s="40" t="str">
        <x:v>Result state</x:v>
      </x:c>
    </x:row>
    <x:row r="5" ht="35" customHeight="1">
      <x:c r="A5" s="45" t="str">
        <x:v>Baseline</x:v>
      </x:c>
      <x:c r="B5" s="45" t="n">
        <x:v>6</x:v>
      </x:c>
      <x:c r="C5" s="45" t="n">
        <x:v>6</x:v>
      </x:c>
      <x:c r="D5" s="45" t="n">
        <x:v>6</x:v>
      </x:c>
      <x:c r="E5" s="45" t="n">
        <x:v>2</x:v>
      </x:c>
      <x:c r="F5" s="45" t="str">
        <x:v>Screening converged</x:v>
      </x:c>
    </x:row>
    <x:row r="6" ht="35" customHeight="1">
      <x:c r="A6" s="45" t="str">
        <x:v>Inlet7</x:v>
      </x:c>
      <x:c r="B6" s="45" t="n">
        <x:v>7</x:v>
      </x:c>
      <x:c r="C6" s="45" t="n">
        <x:v>6</x:v>
      </x:c>
      <x:c r="D6" s="45" t="n">
        <x:v>6</x:v>
      </x:c>
      <x:c r="E6" s="45" t="n">
        <x:v>1.5</x:v>
      </x:c>
      <x:c r="F6" s="45" t="str">
        <x:v>Screening converged</x:v>
      </x:c>
    </x:row>
    <x:row r="7" ht="35" customHeight="1">
      <x:c r="A7" s="45" t="str">
        <x:v>Outlet7</x:v>
      </x:c>
      <x:c r="B7" s="45" t="n">
        <x:v>6</x:v>
      </x:c>
      <x:c r="C7" s="45" t="n">
        <x:v>7</x:v>
      </x:c>
      <x:c r="D7" s="45" t="n">
        <x:v>6</x:v>
      </x:c>
      <x:c r="E7" s="45" t="n">
        <x:v>1.5</x:v>
      </x:c>
      <x:c r="F7" s="45" t="str">
        <x:v>Screening converged</x:v>
      </x:c>
    </x:row>
    <x:row r="8">
      <x:c r="A8" s="36"/>
      <x:c r="B8" s="36"/>
      <x:c r="C8" s="36"/>
      <x:c r="D8" s="36"/>
      <x:c r="E8" s="36"/>
      <x:c r="F8" s="36"/>
    </x:row>
    <x:row r="9" ht="36" customHeight="1">
      <x:c r="A9" s="45" t="str">
        <x:v>D7 trunk begins at y=10 mm and ends at y=125 mm. Each variant increases CAD coolant volume about 9.6%; sharp steps are retained.</x:v>
      </x:c>
      <x:c r="B9" s="45"/>
      <x:c r="C9" s="45"/>
      <x:c r="D9" s="45"/>
      <x:c r="E9" s="45"/>
      <x:c r="F9" s="45"/>
    </x:row>
    <x:row r="10">
      <x:c r="A10" s="36"/>
      <x:c r="B10" s="36"/>
      <x:c r="C10" s="36"/>
      <x:c r="D10" s="36"/>
      <x:c r="E10" s="36"/>
      <x:c r="F10" s="36"/>
    </x:row>
    <x:row r="11" ht="25" customHeight="1">
      <x:c r="A11" s="39" t="str">
        <x:v>Refined baseline metric</x:v>
      </x:c>
      <x:c r="B11" s="39" t="str">
        <x:v>Value</x:v>
      </x:c>
      <x:c r="C11" s="39" t="str">
        <x:v>Units</x:v>
      </x:c>
      <x:c r="D11" s="39" t="str">
        <x:v>Evidence</x:v>
      </x:c>
      <x:c r="E11" s="36"/>
      <x:c r="F11" s="36"/>
    </x:row>
    <x:row r="12" ht="34" customHeight="1">
      <x:c r="A12" s="36" t="str">
        <x:v>Base mean temperature</x:v>
      </x:c>
      <x:c r="B12" s="43" t="n">
        <x:v>39.669627486821355</x:v>
      </x:c>
      <x:c r="C12" s="36" t="str">
        <x:v>°C</x:v>
      </x:c>
      <x:c r="D12" s="45" t="str">
        <x:v>Saved boundary-face data; top metrics cross-checked</x:v>
      </x:c>
      <x:c r="E12" s="36"/>
      <x:c r="F12" s="36"/>
    </x:row>
    <x:row r="13" ht="34" customHeight="1">
      <x:c r="A13" s="36" t="str">
        <x:v>Base maximum temperature</x:v>
      </x:c>
      <x:c r="B13" s="43" t="n">
        <x:v>44.52627305161445</x:v>
      </x:c>
      <x:c r="C13" s="36" t="str">
        <x:v>°C</x:v>
      </x:c>
      <x:c r="D13" s="45" t="str">
        <x:v>Saved boundary-face data</x:v>
      </x:c>
      <x:c r="E13" s="36"/>
      <x:c r="F13" s="36"/>
    </x:row>
    <x:row r="14" ht="34" customHeight="1">
      <x:c r="A14" s="36" t="str">
        <x:v>Inlet temperature</x:v>
      </x:c>
      <x:c r="B14" s="43" t="n">
        <x:v>23</x:v>
      </x:c>
      <x:c r="C14" s="36" t="str">
        <x:v>°C</x:v>
      </x:c>
      <x:c r="D14" s="45" t="str">
        <x:v>Specified boundary condition</x:v>
      </x:c>
      <x:c r="E14" s="36"/>
      <x:c r="F14" s="36"/>
    </x:row>
    <x:row r="15" ht="34" customHeight="1">
      <x:c r="A15" s="36" t="str">
        <x:v>Heat input</x:v>
      </x:c>
      <x:c r="B15" s="43" t="n">
        <x:v>200</x:v>
      </x:c>
      <x:c r="C15" s="36" t="str">
        <x:v>W</x:v>
      </x:c>
      <x:c r="D15" s="45" t="str">
        <x:v>Specified bottom load</x:v>
      </x:c>
      <x:c r="E15" s="36"/>
      <x:c r="F15" s="36"/>
    </x:row>
    <x:row r="16" ht="34" customHeight="1">
      <x:c r="A16" s="36" t="str">
        <x:v>Mean base thermal resistance</x:v>
      </x:c>
      <x:c r="B16" s="43" t="n">
        <x:f>(B12-B14)/B15</x:f>
        <x:v>0.08334813743410678</x:v>
      </x:c>
      <x:c r="C16" s="36" t="str">
        <x:v>K/W</x:v>
      </x:c>
      <x:c r="D16" s="45" t="str">
        <x:v>(Base mean − inlet)/heat input</x:v>
      </x:c>
      <x:c r="E16" s="36"/>
      <x:c r="F16" s="36"/>
    </x:row>
    <x:row r="17" ht="34" customHeight="1">
      <x:c r="A17" s="36" t="str">
        <x:v>Maximum base thermal resistance</x:v>
      </x:c>
      <x:c r="B17" s="43" t="n">
        <x:f>(B13-B14)/B15</x:f>
        <x:v>0.10763136525807226</x:v>
      </x:c>
      <x:c r="C17" s="36" t="str">
        <x:v>K/W</x:v>
      </x:c>
      <x:c r="D17" s="45" t="str">
        <x:v>(Base maximum − inlet)/heat input</x:v>
      </x:c>
      <x:c r="E17" s="36"/>
      <x:c r="F17" s="36"/>
    </x:row>
    <x:row r="18" ht="34" customHeight="1">
      <x:c r="A18" s="36" t="str">
        <x:v>Reference hydraulic power</x:v>
      </x:c>
      <x:c r="B18" s="44" t="n">
        <x:v>0.0006573368487493241</x:v>
      </x:c>
      <x:c r="C18" s="36" t="str">
        <x:v>W</x:v>
      </x:c>
      <x:c r="D18" s="45" t="str">
        <x:v>mdot/rho × mass-weighted total-pressure loss</x:v>
      </x:c>
      <x:c r="E18" s="36"/>
      <x:c r="F18" s="36"/>
    </x:row>
    <x:row r="19">
      <x:c r="A19" s="36"/>
      <x:c r="B19" s="36"/>
      <x:c r="C19" s="36"/>
      <x:c r="D19" s="36"/>
      <x:c r="E19" s="36"/>
      <x:c r="F19" s="36"/>
    </x:row>
    <x:row r="20" ht="36" customHeight="1">
      <x:c r="A20" s="45" t="str">
        <x:v>Complete matched-flow screening, refined confirmation and equal-power comparison before claiming a design improvement.</x:v>
      </x:c>
      <x:c r="B20" s="45"/>
      <x:c r="C20" s="45"/>
      <x:c r="D20" s="45"/>
      <x:c r="E20" s="45"/>
      <x:c r="F20" s="45"/>
    </x:row>
    <x:row r="21" ht="36" customHeight="1">
      <x:c r="A21" s="45" t="str">
        <x:v>The paper comparison remains incompletely specified. Numerical verification and experimental validation are distinct.</x:v>
      </x:c>
      <x:c r="B21" s="45"/>
      <x:c r="C21" s="45"/>
      <x:c r="D21" s="45"/>
      <x:c r="E21" s="45"/>
      <x:c r="F21" s="45"/>
    </x:row>
    <x:row r="23">
      <x:c r="A23" s="47" t="str">
        <x:v>Completed CFD comparison records</x:v>
      </x:c>
    </x:row>
    <x:row r="24" ht="43" customHeight="1">
      <x:c r="A24" s="55" t="str">
        <x:v>Case</x:v>
      </x:c>
      <x:c r="B24" s="55" t="str">
        <x:v>Cells</x:v>
      </x:c>
      <x:c r="C24" s="55" t="str">
        <x:v>Flow (kg/h)</x:v>
      </x:c>
      <x:c r="D24" s="55" t="str">
        <x:v>Base mean (°C)</x:v>
      </x:c>
      <x:c r="E24" s="55" t="str">
        <x:v>Base max (°C)</x:v>
      </x:c>
      <x:c r="F24" s="55" t="str">
        <x:v>Static Δp (Pa)</x:v>
      </x:c>
      <x:c r="G24" s="55" t="str">
        <x:v>Total loss (Pa)</x:v>
      </x:c>
      <x:c r="H24" s="55" t="str">
        <x:v>Hydraulic power (mW)</x:v>
      </x:c>
    </x:row>
    <x:row r="25" ht="26" customHeight="1">
      <x:c r="A25" t="str">
        <x:v>baseline_refined</x:v>
      </x:c>
      <x:c r="B25" s="51" t="n">
        <x:v>1390532</x:v>
      </x:c>
      <x:c r="C25" s="52" t="n">
        <x:v>22.299999999999958</x:v>
      </x:c>
      <x:c r="D25" s="52" t="n">
        <x:v>39.669627486821355</x:v>
      </x:c>
      <x:c r="E25" s="52" t="n">
        <x:v>44.52627305161445</x:v>
      </x:c>
      <x:c r="F25" s="52" t="n">
        <x:v>91.0362632900909</x:v>
      </x:c>
      <x:c r="G25" s="52" t="n">
        <x:v>105.8562582068392</x:v>
      </x:c>
      <x:c r="H25" s="52" t="n">
        <x:f>C25/3600/997.5413850701226*G25*1000</x:f>
        <x:v>0.6573368487493241</x:v>
      </x:c>
    </x:row>
    <x:row r="26" ht="26" customHeight="1">
      <x:c r="A26" t="str">
        <x:v>baseline_screen</x:v>
      </x:c>
      <x:c r="B26" s="51" t="n">
        <x:v>335962</x:v>
      </x:c>
      <x:c r="C26" s="52" t="n">
        <x:v>22.29999999999998</x:v>
      </x:c>
      <x:c r="D26" s="52" t="n">
        <x:v>39.93167001436922</x:v>
      </x:c>
      <x:c r="E26" s="52" t="n">
        <x:v>44.71599731445315</x:v>
      </x:c>
      <x:c r="F26" s="52" t="n">
        <x:v>96.13711966259265</x:v>
      </x:c>
      <x:c r="G26" s="52" t="n">
        <x:v>107.93705564657526</x:v>
      </x:c>
      <x:c r="H26" s="52" t="n">
        <x:f>C26/3600/997.5413850701226*G26*1000</x:f>
        <x:v>0.6702580010278152</x:v>
      </x:c>
    </x:row>
    <x:row r="27" ht="26" customHeight="1">
      <x:c r="A27" t="str">
        <x:v>inlet7_screen</x:v>
      </x:c>
      <x:c r="B27" s="51" t="n">
        <x:v>333006</x:v>
      </x:c>
      <x:c r="C27" s="52" t="n">
        <x:v>22.299999999999997</x:v>
      </x:c>
      <x:c r="D27" s="52" t="n">
        <x:v>40.043143715673295</x:v>
      </x:c>
      <x:c r="E27" s="52" t="n">
        <x:v>44.54689941406252</x:v>
      </x:c>
      <x:c r="F27" s="52" t="n">
        <x:v>85.79635916128535</x:v>
      </x:c>
      <x:c r="G27" s="52" t="n">
        <x:v>97.77762103864409</x:v>
      </x:c>
      <x:c r="H27" s="52" t="n">
        <x:f>C27/3600/997.5413850701226*G27*1000</x:f>
        <x:v>0.6071708407278226</x:v>
      </x:c>
    </x:row>
    <x:row r="28" ht="26" customHeight="1">
      <x:c r="A28" t="str">
        <x:v>outlet7_refined_equal_power</x:v>
      </x:c>
      <x:c r="B28" s="51" t="n">
        <x:v>1364916</x:v>
      </x:c>
      <x:c r="C28" s="52" t="n">
        <x:v>23.20101248748559</x:v>
      </x:c>
      <x:c r="D28" s="52" t="n">
        <x:v>39.07751891150451</x:v>
      </x:c>
      <x:c r="E28" s="52" t="n">
        <x:v>43.11162719726565</x:v>
      </x:c>
      <x:c r="F28" s="52" t="n">
        <x:v>84.84005190584001</x:v>
      </x:c>
      <x:c r="G28" s="52" t="n">
        <x:v>101.68804816161804</x:v>
      </x:c>
      <x:c r="H28" s="52" t="n">
        <x:f>C28/3600/997.5413850701226*G28*1000</x:f>
        <x:v>0.6569668048464228</x:v>
      </x:c>
    </x:row>
    <x:row r="29" ht="26" customHeight="1">
      <x:c r="A29" t="str">
        <x:v>outlet7_refined</x:v>
      </x:c>
      <x:c r="B29" s="51" t="n">
        <x:v>1364916</x:v>
      </x:c>
      <x:c r="C29" s="52" t="n">
        <x:v>22.29999999999998</x:v>
      </x:c>
      <x:c r="D29" s="52" t="n">
        <x:v>39.44740518407201</x:v>
      </x:c>
      <x:c r="E29" s="52" t="n">
        <x:v>43.51601562500002</x:v>
      </x:c>
      <x:c r="F29" s="52" t="n">
        <x:v>79.5138393003477</x:v>
      </x:c>
      <x:c r="G29" s="52" t="n">
        <x:v>95.00403159525078</x:v>
      </x:c>
      <x:c r="H29" s="52" t="n">
        <x:f>C29/3600/997.5413850701226*G29*1000</x:f>
        <x:v>0.5899476498147057</x:v>
      </x:c>
    </x:row>
    <x:row r="30" ht="26" customHeight="1">
      <x:c r="A30" t="str">
        <x:v>outlet7_screen</x:v>
      </x:c>
      <x:c r="B30" s="51" t="n">
        <x:v>324300</x:v>
      </x:c>
      <x:c r="C30" s="52" t="n">
        <x:v>22.299999999999986</x:v>
      </x:c>
      <x:c r="D30" s="52" t="n">
        <x:v>39.582750792277636</x:v>
      </x:c>
      <x:c r="E30" s="52" t="n">
        <x:v>43.64107666015633</x:v>
      </x:c>
      <x:c r="F30" s="52" t="n">
        <x:v>83.75838813370183</x:v>
      </x:c>
      <x:c r="G30" s="52" t="n">
        <x:v>96.60669228525302</x:v>
      </x:c>
      <x:c r="H30" s="52" t="n">
        <x:f>C30/3600/997.5413850701226*G30*1000</x:f>
        <x:v>0.5998997107077143</x:v>
      </x:c>
    </x:row>
  </x:sheetData>
  <x:mergeCells>
    <x:mergeCell ref="A2:F2"/>
    <x:mergeCell ref="A9:F9"/>
    <x:mergeCell ref="A20:F20"/>
    <x:mergeCell ref="A21:F21"/>
  </x:mergeCells>
  <x:pageMargins left="0.7" right="0.7" top="0.75" bottom="0.75" header="0.3" footer="0.3"/>
</x:worksheet>
</file>